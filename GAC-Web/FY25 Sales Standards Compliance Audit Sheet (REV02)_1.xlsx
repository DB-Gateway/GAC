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Types.xml" ContentType="application/vnd.ms-excel.rdrichvaluetypes+xml"/>
  <Override PartName="/xl/richData/richStyles.xml" ContentType="application/vnd.ms-excel.richstyles+xml"/>
  <Override PartName="/xl/richData/rdsupportingpropertybag.xml" ContentType="application/vnd.ms-excel.rdsupportingpropertybag+xml"/>
  <Override PartName="/xl/richData/rdrichvaluestructure.xml" ContentType="application/vnd.ms-excel.rdrichvaluestructure+xml"/>
  <Override PartName="/xl/richData/rdsupportingpropertybagstructure.xml" ContentType="application/vnd.ms-excel.rdsupportingpropertybagstructure+xml"/>
  <Override PartName="/xl/richData/rdrichvalue.xml" ContentType="application/vnd.ms-excel.rdrichvalue+xml"/>
  <Override PartName="/xl/richData/rdarray.xml" ContentType="application/vnd.ms-excel.rdarray+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xampp\htdocs\JR-files\GAC-systems\"/>
    </mc:Choice>
  </mc:AlternateContent>
  <xr:revisionPtr revIDLastSave="0" documentId="13_ncr:1_{355A391C-6051-458A-AD60-2CD23C2D1FB7}" xr6:coauthVersionLast="47" xr6:coauthVersionMax="47" xr10:uidLastSave="{00000000-0000-0000-0000-000000000000}"/>
  <bookViews>
    <workbookView xWindow="-108" yWindow="-108" windowWidth="23256" windowHeight="12456" tabRatio="836" activeTab="1" xr2:uid="{00000000-000D-0000-FFFF-FFFF00000000}"/>
  </bookViews>
  <sheets>
    <sheet name="Main Form" sheetId="14" r:id="rId1"/>
    <sheet name="Summary" sheetId="13" r:id="rId2"/>
    <sheet name="How To Check" sheetId="16" r:id="rId3"/>
    <sheet name="Pivot" sheetId="2" state="hidden" r:id="rId4"/>
    <sheet name="Data sheet" sheetId="11" state="hidden" r:id="rId5"/>
    <sheet name="Sheet1" sheetId="15" state="hidden" r:id="rId6"/>
  </sheets>
  <definedNames>
    <definedName name="_xlnm._FilterDatabase" localSheetId="4" hidden="1">'Data sheet'!$A$1:$C$68</definedName>
    <definedName name="_xlnm.Print_Area" localSheetId="2">'How To Check'!$A$1:$F$93</definedName>
    <definedName name="_xlnm.Print_Area" localSheetId="0">'Main Form'!$A$1:$L$93</definedName>
    <definedName name="_xlnm.Print_Area" localSheetId="1">Summary!$A$1:$G$52</definedName>
  </definedNames>
  <calcPr calcId="191029"/>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1" i="14" l="1"/>
  <c r="G100" i="14"/>
  <c r="G99" i="14"/>
  <c r="G98" i="14"/>
  <c r="G97" i="14"/>
  <c r="C3" i="13"/>
  <c r="G102" i="14" l="1"/>
  <c r="N78" i="14"/>
  <c r="O78" i="14"/>
  <c r="P78" i="14"/>
  <c r="N79" i="14"/>
  <c r="O79" i="14"/>
  <c r="P79" i="14"/>
  <c r="N80" i="14"/>
  <c r="O80" i="14"/>
  <c r="P80" i="14"/>
  <c r="N81" i="14"/>
  <c r="O81" i="14"/>
  <c r="P81" i="14"/>
  <c r="N82" i="14"/>
  <c r="O82" i="14"/>
  <c r="P82" i="14"/>
  <c r="N83" i="14"/>
  <c r="O83" i="14"/>
  <c r="P83" i="14"/>
  <c r="N84" i="14"/>
  <c r="O84" i="14"/>
  <c r="P84" i="14"/>
  <c r="N85" i="14"/>
  <c r="O85" i="14"/>
  <c r="P85" i="14"/>
  <c r="N86" i="14"/>
  <c r="O86" i="14"/>
  <c r="P86" i="14"/>
  <c r="N87" i="14"/>
  <c r="O87" i="14"/>
  <c r="P87" i="14"/>
  <c r="N88" i="14"/>
  <c r="O88" i="14"/>
  <c r="P88" i="14"/>
  <c r="N89" i="14"/>
  <c r="O89" i="14"/>
  <c r="P89" i="14"/>
  <c r="N90" i="14"/>
  <c r="O90" i="14"/>
  <c r="P90" i="14"/>
  <c r="N91" i="14"/>
  <c r="O91" i="14"/>
  <c r="P91" i="14"/>
  <c r="N92" i="14"/>
  <c r="O92" i="14"/>
  <c r="P92" i="14"/>
  <c r="P77" i="14"/>
  <c r="O77" i="14"/>
  <c r="N77" i="14"/>
  <c r="P76" i="14"/>
  <c r="O76" i="14"/>
  <c r="N76" i="14"/>
  <c r="P75" i="14"/>
  <c r="O75" i="14"/>
  <c r="N75" i="14"/>
  <c r="P74" i="14"/>
  <c r="O74" i="14"/>
  <c r="N74" i="14"/>
  <c r="P73" i="14"/>
  <c r="O73" i="14"/>
  <c r="N73" i="14"/>
  <c r="P72" i="14"/>
  <c r="O72" i="14"/>
  <c r="N72" i="14"/>
  <c r="P71" i="14"/>
  <c r="O71" i="14"/>
  <c r="N71" i="14"/>
  <c r="P70" i="14"/>
  <c r="O70" i="14"/>
  <c r="N70" i="14"/>
  <c r="P69" i="14"/>
  <c r="O69" i="14"/>
  <c r="N69" i="14"/>
  <c r="P68" i="14"/>
  <c r="O68" i="14"/>
  <c r="N68" i="14"/>
  <c r="P67" i="14"/>
  <c r="O67" i="14"/>
  <c r="N67" i="14"/>
  <c r="P66" i="14"/>
  <c r="O66" i="14"/>
  <c r="N66" i="14"/>
  <c r="P65" i="14"/>
  <c r="O65" i="14"/>
  <c r="N65" i="14"/>
  <c r="P64" i="14"/>
  <c r="O64" i="14"/>
  <c r="N64" i="14"/>
  <c r="P63" i="14"/>
  <c r="O63" i="14"/>
  <c r="N63" i="14"/>
  <c r="P62" i="14"/>
  <c r="O62" i="14"/>
  <c r="N62" i="14"/>
  <c r="P61" i="14"/>
  <c r="O61" i="14"/>
  <c r="N61" i="14"/>
  <c r="P60" i="14"/>
  <c r="O60" i="14"/>
  <c r="N60" i="14"/>
  <c r="P59" i="14"/>
  <c r="O59" i="14"/>
  <c r="N59" i="14"/>
  <c r="P58" i="14"/>
  <c r="O58" i="14"/>
  <c r="N58" i="14"/>
  <c r="P57" i="14"/>
  <c r="O57" i="14"/>
  <c r="N57" i="14"/>
  <c r="P56" i="14"/>
  <c r="O56" i="14"/>
  <c r="N56" i="14"/>
  <c r="P55" i="14"/>
  <c r="O55" i="14"/>
  <c r="N55" i="14"/>
  <c r="P54" i="14"/>
  <c r="O54" i="14"/>
  <c r="N54" i="14"/>
  <c r="P53" i="14"/>
  <c r="D23" i="13" s="1"/>
  <c r="O53" i="14"/>
  <c r="N53" i="14"/>
  <c r="P52" i="14"/>
  <c r="O52" i="14"/>
  <c r="N52" i="14"/>
  <c r="P51" i="14"/>
  <c r="O51" i="14"/>
  <c r="N51" i="14"/>
  <c r="P50" i="14"/>
  <c r="O50" i="14"/>
  <c r="N50" i="14"/>
  <c r="P49" i="14"/>
  <c r="O49" i="14"/>
  <c r="N49" i="14"/>
  <c r="P48" i="14"/>
  <c r="O48" i="14"/>
  <c r="N48" i="14"/>
  <c r="P47" i="14"/>
  <c r="O47" i="14"/>
  <c r="N47" i="14"/>
  <c r="P46" i="14"/>
  <c r="O46" i="14"/>
  <c r="N46" i="14"/>
  <c r="P45" i="14"/>
  <c r="O45" i="14"/>
  <c r="N45" i="14"/>
  <c r="P44" i="14"/>
  <c r="O44" i="14"/>
  <c r="N44" i="14"/>
  <c r="P43" i="14"/>
  <c r="O43" i="14"/>
  <c r="N43" i="14"/>
  <c r="P42" i="14"/>
  <c r="O42" i="14"/>
  <c r="N42" i="14"/>
  <c r="P41" i="14"/>
  <c r="O41" i="14"/>
  <c r="N41" i="14"/>
  <c r="P40" i="14"/>
  <c r="O40" i="14"/>
  <c r="N40" i="14"/>
  <c r="P39" i="14"/>
  <c r="O39" i="14"/>
  <c r="N39" i="14"/>
  <c r="P38" i="14"/>
  <c r="O38" i="14"/>
  <c r="N38" i="14"/>
  <c r="P37" i="14"/>
  <c r="O37" i="14"/>
  <c r="N37" i="14"/>
  <c r="P36" i="14"/>
  <c r="O36" i="14"/>
  <c r="N36" i="14"/>
  <c r="P35" i="14"/>
  <c r="O35" i="14"/>
  <c r="N35" i="14"/>
  <c r="P34" i="14"/>
  <c r="O34" i="14"/>
  <c r="N34" i="14"/>
  <c r="P33" i="14"/>
  <c r="O33" i="14"/>
  <c r="N33" i="14"/>
  <c r="P32" i="14"/>
  <c r="O32" i="14"/>
  <c r="N32" i="14"/>
  <c r="P31" i="14"/>
  <c r="O31" i="14"/>
  <c r="N31" i="14"/>
  <c r="P30" i="14"/>
  <c r="O30" i="14"/>
  <c r="N30" i="14"/>
  <c r="P29" i="14"/>
  <c r="O29" i="14"/>
  <c r="N29" i="14"/>
  <c r="P28" i="14"/>
  <c r="O28" i="14"/>
  <c r="N28" i="14"/>
  <c r="P27" i="14"/>
  <c r="O27" i="14"/>
  <c r="N27" i="14"/>
  <c r="P26" i="14"/>
  <c r="O26" i="14"/>
  <c r="N26" i="14"/>
  <c r="P25" i="14"/>
  <c r="O25" i="14"/>
  <c r="N25" i="14"/>
  <c r="P24" i="14"/>
  <c r="O24" i="14"/>
  <c r="N24" i="14"/>
  <c r="P23" i="14"/>
  <c r="O23" i="14"/>
  <c r="N23" i="14"/>
  <c r="P22" i="14"/>
  <c r="O22" i="14"/>
  <c r="N22" i="14"/>
  <c r="P21" i="14"/>
  <c r="O21" i="14"/>
  <c r="N21" i="14"/>
  <c r="P20" i="14"/>
  <c r="O20" i="14"/>
  <c r="N20" i="14"/>
  <c r="P19" i="14"/>
  <c r="O19" i="14"/>
  <c r="N19" i="14"/>
  <c r="P18" i="14"/>
  <c r="O18" i="14"/>
  <c r="N18" i="14"/>
  <c r="P17" i="14"/>
  <c r="O17" i="14"/>
  <c r="N17" i="14"/>
  <c r="P16" i="14"/>
  <c r="O16" i="14"/>
  <c r="N16" i="14"/>
  <c r="P15" i="14"/>
  <c r="O15" i="14"/>
  <c r="N15" i="14"/>
  <c r="P14" i="14"/>
  <c r="O14" i="14"/>
  <c r="N14" i="14"/>
  <c r="P13" i="14"/>
  <c r="O13" i="14"/>
  <c r="N13" i="14"/>
  <c r="P12" i="14"/>
  <c r="O12" i="14"/>
  <c r="N12" i="14"/>
  <c r="P11" i="14"/>
  <c r="O11" i="14"/>
  <c r="N11" i="14"/>
  <c r="P10" i="14"/>
  <c r="O10" i="14"/>
  <c r="N10" i="14"/>
  <c r="P9" i="14"/>
  <c r="O9" i="14"/>
  <c r="N9" i="14"/>
  <c r="P8" i="14"/>
  <c r="O8" i="14"/>
  <c r="N8" i="14"/>
  <c r="P7" i="14"/>
  <c r="O7" i="14"/>
  <c r="N7" i="14"/>
  <c r="P6" i="14"/>
  <c r="O6" i="14"/>
  <c r="N6" i="14"/>
  <c r="P5" i="14"/>
  <c r="O5" i="14"/>
  <c r="N5" i="14"/>
  <c r="P4" i="14"/>
  <c r="O4" i="14"/>
  <c r="N4" i="14"/>
  <c r="P3" i="14"/>
  <c r="O3" i="14"/>
  <c r="N3" i="14"/>
  <c r="E9" i="13" l="1"/>
  <c r="D21" i="13"/>
  <c r="D17" i="13"/>
  <c r="D26" i="13"/>
  <c r="D19" i="13"/>
  <c r="D16" i="13"/>
  <c r="D10" i="13"/>
  <c r="D11" i="13"/>
  <c r="D28" i="13"/>
  <c r="D22" i="13"/>
  <c r="D9" i="13"/>
  <c r="D25" i="13"/>
  <c r="D24" i="13"/>
  <c r="D18" i="13"/>
  <c r="D20" i="13"/>
  <c r="D27" i="13"/>
  <c r="E16" i="13"/>
  <c r="E10" i="13"/>
  <c r="E18" i="13"/>
  <c r="E26" i="13"/>
  <c r="E25" i="13"/>
  <c r="E24" i="13"/>
  <c r="E22" i="13"/>
  <c r="E21" i="13"/>
  <c r="E20" i="13"/>
  <c r="E23" i="13"/>
  <c r="E17" i="13"/>
  <c r="E28" i="13"/>
  <c r="E27" i="13"/>
  <c r="E19" i="13"/>
  <c r="D29" i="13" l="1"/>
  <c r="F19" i="13"/>
  <c r="E12" i="13"/>
  <c r="F16" i="13"/>
  <c r="F9" i="13"/>
  <c r="G9" i="13" s="1"/>
  <c r="F17" i="13"/>
  <c r="F26" i="13"/>
  <c r="F11" i="13"/>
  <c r="F18" i="13" l="1"/>
  <c r="E29" i="13"/>
  <c r="F29" i="13" s="1"/>
  <c r="F10" i="13"/>
  <c r="F20" i="13"/>
  <c r="G10" i="13" l="1"/>
  <c r="F23" i="13"/>
  <c r="F24" i="13"/>
  <c r="F22" i="13"/>
  <c r="F28" i="13"/>
  <c r="F25" i="13"/>
  <c r="F27" i="13"/>
  <c r="F21" i="13"/>
  <c r="D12" i="13" l="1"/>
  <c r="F12" i="13" s="1"/>
  <c r="G12" i="13" s="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0">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<sst xmlns="http://schemas.openxmlformats.org/spreadsheetml/2006/main" count="1571" uniqueCount="408">
  <si>
    <t>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</si>
  <si>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</si>
  <si>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</si>
  <si>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</si>
  <si>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</si>
  <si>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</si>
  <si>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</si>
  <si>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</si>
  <si>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</si>
  <si>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</si>
  <si>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</si>
  <si>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</si>
  <si>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</si>
  <si>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</si>
  <si>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</si>
  <si>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</si>
  <si>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</si>
  <si>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</si>
  <si>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</si>
  <si>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</si>
  <si>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</si>
  <si>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</si>
  <si>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</si>
  <si>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</si>
  <si>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Lead Generation and Management</t>
  </si>
  <si>
    <t>Needs Analysis</t>
  </si>
  <si>
    <t>Customer Engagement and Showroom Operations</t>
  </si>
  <si>
    <t>Product Presentation and Test Drive</t>
  </si>
  <si>
    <t>Deal and Closing Management</t>
  </si>
  <si>
    <t>Application Process Support</t>
  </si>
  <si>
    <t>Sales Operation Management</t>
  </si>
  <si>
    <t>Vehicle Release Management</t>
  </si>
  <si>
    <t>Post-Release Customer Management</t>
  </si>
  <si>
    <t>Mandatory Reports</t>
  </si>
  <si>
    <t xml:space="preserve">Total:    </t>
  </si>
  <si>
    <t>Subject</t>
  </si>
  <si>
    <t>Check Item</t>
  </si>
  <si>
    <t>Judgment</t>
  </si>
  <si>
    <t>Action Plan</t>
  </si>
  <si>
    <t>Commitment Date</t>
  </si>
  <si>
    <t>Count NA</t>
  </si>
  <si>
    <t>Audit Result Part 1</t>
  </si>
  <si>
    <t>Audit Result Part 2</t>
  </si>
  <si>
    <t>Facade</t>
  </si>
  <si>
    <t>Fascia or badge sign and letterings are complete, undamaged, clean, no watermarks, no obstructions, no discoloration and stains</t>
  </si>
  <si>
    <t>YES</t>
  </si>
  <si>
    <t>Pylon (Single/Two-Post / Tower / Wall Projecting) sign/s and letterings are complete, undamaged, clean, no watermarks, no obstructions, no discoloration and stains</t>
  </si>
  <si>
    <t>All exterior Visual Identity including building walls, exterior paint and finishes, are clean and free from damage.</t>
  </si>
  <si>
    <t>Showroom glass is clean, free from cracks, scratches, damage, dust, stains and water marks</t>
  </si>
  <si>
    <t>"Customer Parking" signs are available, undamaged and well maintained</t>
  </si>
  <si>
    <t>No new units "stock" parked in customer parking area.</t>
  </si>
  <si>
    <t>PWD parking slot and ramp with railings should be unobstructed and painted with standard PWD Logo.</t>
  </si>
  <si>
    <t>Test Drive</t>
  </si>
  <si>
    <t>Test drive vehicle are maintained clean, fully functional and is readily available for use.</t>
  </si>
  <si>
    <t>&gt; Test drive parking area with a roof (tent) should be installed in front of the showroom
&gt; Test drive advertisement with Dealer's contact number visibly displayed at the dealership</t>
  </si>
  <si>
    <t>Test drive route map is available</t>
  </si>
  <si>
    <t>Greetings</t>
  </si>
  <si>
    <t>MMPC greeting standard is done by all dealer staff.</t>
  </si>
  <si>
    <t>Customers were escorted during the entrance and sent off with an umbrella service (if necessary).</t>
  </si>
  <si>
    <t>Showroom Area</t>
  </si>
  <si>
    <t>Reception Desk is installed in the entrance following the VI Standards; desk is clean, organized, and free of unecessary items; accent wall remains free of any designs</t>
  </si>
  <si>
    <t>No duplicate vehicle model variants were displayed</t>
  </si>
  <si>
    <t>Display units are clean and in good condition (no dents, scratches, fingerprints, etc.)</t>
  </si>
  <si>
    <t>All displayed cars have their corresponding and updated specs stands.</t>
  </si>
  <si>
    <t>Dealer Training Facilities and Equipment Standards</t>
  </si>
  <si>
    <t>Training facility/room shall be within standard room size based on Circular NTD-STS-2024-010</t>
  </si>
  <si>
    <t>Training facility/room shall have complete tools and equipment for training based on Circular NTD-STS-2024-010</t>
  </si>
  <si>
    <t>Sales Executives/Sales CROs must have a secured and stable internet connection during training</t>
  </si>
  <si>
    <t>Dealers must have a dedicated computer/laptop within the required specification for training and other tools/software.</t>
  </si>
  <si>
    <t>Hero Car Display (new model) is displayed on a standard black platform.</t>
  </si>
  <si>
    <t>Has a display car with recommended MMPC accessories</t>
  </si>
  <si>
    <t>Showroom Tiles or tiles has no damages</t>
  </si>
  <si>
    <t>Ceiling of showroom should be cob web free; no discoloration and stains</t>
  </si>
  <si>
    <t>No busted lights in the Showroom Area and Customer Lounge</t>
  </si>
  <si>
    <t>Directional signs to Sales, Service, and Parts follow MMPC VI standards, undamaged and visible.</t>
  </si>
  <si>
    <t>All showroom lighted signages, banners and tarpaulins are up to date and in good condition and no damages</t>
  </si>
  <si>
    <t>All installed A/C systems in the showroom and sales lounge are functioning properly</t>
  </si>
  <si>
    <t>The sofas/chairs in the customer lounge and the negotiation area are in good condition, sufficient, organized, clean, and comply with MMPC VI Standard Requirements</t>
  </si>
  <si>
    <t>Showroom and customer lounge have designated amenity corner with the required signage</t>
  </si>
  <si>
    <t>Amenity corner has minimum of 3 beverage options available (water, juice, coffee, etc.)</t>
  </si>
  <si>
    <t>Amenity corner has available snacks (biscuits, cupcakes, candies)</t>
  </si>
  <si>
    <t>Sales Executives proactively offer beverages, snacks, Wi-Fi access, and lounge entertainment (TV)</t>
  </si>
  <si>
    <t>Rest Rooms must have clean water supply, toilet bowl, sink, urinal, bidet, trash cans, tissue, paper towel or hand dryer, and hand wash soap; no foul smell</t>
  </si>
  <si>
    <t>Sales Operation</t>
  </si>
  <si>
    <t>Availability of Sales Performance Control Board with correct format /pattern and updated with corresponding progress indicator.</t>
  </si>
  <si>
    <t>Availability of sales activity with 2 months rolling plan, including SE duties.</t>
  </si>
  <si>
    <t>Conduct Gap analysis</t>
  </si>
  <si>
    <t>Low-performing SEs based on Sales and SSI Performance are identified and given corrective measures.</t>
  </si>
  <si>
    <t>Check plan including area setting, evaluation of the area and  assigned SE</t>
  </si>
  <si>
    <t>Conduct Prospect Party atleast once a year</t>
  </si>
  <si>
    <t>Conduct Key Opinion Leaders (KOLs) atleast once a year</t>
  </si>
  <si>
    <t>SE Process</t>
  </si>
  <si>
    <t>Sales Executives wear the proper uniform (showroom duty, vehicle release, or field duty attire)</t>
  </si>
  <si>
    <t>Sales Executives are well informed on the structure of SPC and  targets are cascaded.</t>
  </si>
  <si>
    <t>Sales Executives understand the Source of Sales</t>
  </si>
  <si>
    <t>Sales Executives can identify the correct definition of Hot, Warm and Cold</t>
  </si>
  <si>
    <t>Tagging of rating status (Hot, Warm and Cold) in the Otoleap is accurate.</t>
  </si>
  <si>
    <t>Sales Executives are knowledgable on the 10 Basic Needs.</t>
  </si>
  <si>
    <t>Sales Executives know the right approach for customers who owns other brands or customers who are likely to buy to other brands.</t>
  </si>
  <si>
    <t>Updated KANBAN materials of all units are available</t>
  </si>
  <si>
    <t>Sales Executive knows the MMPC 6pt Walk-around Product Presentation</t>
  </si>
  <si>
    <t>Sales Executives are informed on the latest discount policies</t>
  </si>
  <si>
    <t>Sales Executives are informed on the latest updates on banks/financial institutions</t>
  </si>
  <si>
    <t>Sales Executive provide a list of required documents to the customers.</t>
  </si>
  <si>
    <t>Dealers must have an official FB page following MMPC Branding and is properly maintained</t>
  </si>
  <si>
    <t>Responses to online inquiries are within the standard response time.</t>
  </si>
  <si>
    <t>Sales Executive provides a formal vehicle cost computation and digital copy of an updated specification sheet</t>
  </si>
  <si>
    <t>Sales Executive informed customers of the status of their loan approvals.</t>
  </si>
  <si>
    <t>Sales Executive informed customers of the release date and time</t>
  </si>
  <si>
    <t>The Release Ceremony was conducted</t>
  </si>
  <si>
    <t>Have special gift/amenities for new vehicle-releasing customers.</t>
  </si>
  <si>
    <t>Documentation</t>
  </si>
  <si>
    <t>Dealer facilitates monthly General Sales Meetings, supported by Minutes of the Meeting (MOM).</t>
  </si>
  <si>
    <t>SMs facilitates daily meetings with the SEs in front of the SPC Board, supported by  Minutes of the Meeting (MOM).</t>
  </si>
  <si>
    <t>Monitoring and reporting of SSI Score Evaluation including the Voice of the Customer (VOC)</t>
  </si>
  <si>
    <t xml:space="preserve">All required documents are complete and duly signed by the customer, including:
1. Customer Information Sheet (CIS) and DPA Form  
2. Copy of Customer ID  
3. MMVSO (Vehicle Sales Order)  
4. SE Delivery Declaration Form (SDDF)
5. New Vehicle Releasing Checklist (NVRC)  
4. Sales Invoice (SI)  
5. Delivery Receipt (DR)
6. MMPC and Dealer’s copy of Warranty Certificate </t>
  </si>
  <si>
    <t>All customer's  document has digital backup</t>
  </si>
  <si>
    <t>Customer documents are stored in a dedicated folder labeled with Customer Name, Plate/CS No., and Purchase Date and all folders are stored in a locked filing cabinet.</t>
  </si>
  <si>
    <t>Vehicle Delivery</t>
  </si>
  <si>
    <t>The time duration recorded in the New Vehicle Releasing Checklist is within the standard 2-hour releasing</t>
  </si>
  <si>
    <t>Release area is clean and with good atmosphere</t>
  </si>
  <si>
    <t>Releasing Area is inside the showroom</t>
  </si>
  <si>
    <t>Monitoring</t>
  </si>
  <si>
    <t>Leads Database contains customer data from the past 5 years and is being monitored</t>
  </si>
  <si>
    <t>Fleet Account Monitoring is available and updated</t>
  </si>
  <si>
    <t>PDI is done 3 days prior to customer release</t>
  </si>
  <si>
    <t>Daily Release Monitoring is being utilized.</t>
  </si>
  <si>
    <t>Birthday/Anniversary Message Greeting was sent to customers with proper monitoring and tracking</t>
  </si>
  <si>
    <t>Sales CROs have their monitoring file for valid complaints and negative feedback</t>
  </si>
  <si>
    <t>Sales KPI Monitoring Sheet is up to date</t>
  </si>
  <si>
    <t>YANA</t>
  </si>
  <si>
    <t>New release vehicle is updated in YANA NVDO within 2 business days</t>
  </si>
  <si>
    <t>Sales Information Portal (SIP)</t>
  </si>
  <si>
    <t>Sales has an access to Sales Information Portal</t>
  </si>
  <si>
    <t>Sales Executive Information System (SEIS)</t>
  </si>
  <si>
    <t>Manpower report is updated monthly by assigned SEIS officer-in-charge</t>
  </si>
  <si>
    <t>Manpower report (based on latest submission) is matched on the actual personnel count in the dealership</t>
  </si>
  <si>
    <t>Quick VOC System</t>
  </si>
  <si>
    <t>All red alerts are reflected on the Complaint Tracker Monitoring</t>
  </si>
  <si>
    <t>GVD Report</t>
  </si>
  <si>
    <t>Report shall be sent on or before 5pm of the set deadline.</t>
  </si>
  <si>
    <t>Gross Sales and Actual Dealer Inventory Reports</t>
  </si>
  <si>
    <t>100% accuracy of the reports; shall be sent 2 working days after closing date.</t>
  </si>
  <si>
    <t>Customer Waiting List</t>
  </si>
  <si>
    <t>Report shall be sent 2 working days after closing date.</t>
  </si>
  <si>
    <t>BH Finance Report</t>
  </si>
  <si>
    <t>Report shall be sent 3 working days after closing Date</t>
  </si>
  <si>
    <t>Billing Documents and Subsidy Claims</t>
  </si>
  <si>
    <t>Timeliness and accuracy of submitted billing documents and Subsidy Claim Requirements (please refer to monthly email advice and circular for the complete mechanics of the said documents)</t>
  </si>
  <si>
    <t>Training</t>
  </si>
  <si>
    <t>All CROs are accredited following these timelines:
*Level 1: Introductory Course -  within 1 month upon hiring
*Level 2: Basic Sales CRO Training - within 3 to 6 months upon hiring</t>
  </si>
  <si>
    <t>All SEs are accredited following these timelines:
*Level 1: Introductory Course -  within 30 days upon hiring
*Level 2: Basic Course - within 6 months upon hiring
*Level 3: Advanced Course   - within 1 year upon hiring</t>
  </si>
  <si>
    <t>Person-in-Charge</t>
  </si>
  <si>
    <t>Dealer has a designated Sales Training PIC</t>
  </si>
  <si>
    <t>Sales Training Accreditation monthly report is updated by assigned dealer personnel</t>
  </si>
  <si>
    <t>How to Check</t>
  </si>
  <si>
    <t>Column1</t>
  </si>
  <si>
    <t>1. Check through observation if it meets the MMPC VI Standard Requirements</t>
  </si>
  <si>
    <t>1. Check through observation if compliant</t>
  </si>
  <si>
    <t>1. Check if the designated test drive units is compliant</t>
  </si>
  <si>
    <t>1. Check through observation if the testdrive advertisement and dealership contact details are updated</t>
  </si>
  <si>
    <t>1. Check if the testdrive route map is available at the showroom area
2. Check if there are 2 - 3 test drive route map available</t>
  </si>
  <si>
    <t>1. Check if all dealer staff follow the standard greeting (Smile, Greet &amp; Bow) and are consistently done.</t>
  </si>
  <si>
    <t xml:space="preserve">1. Check through observation if the available umbrella at the dealership is either within MMPC branding or has no branding/logos. </t>
  </si>
  <si>
    <t>1. Check if it meets the MMPC VI Standard Requirements
2. Check if there are no designs on the accent wall
3. Check if the reception desk is clean, organized, and free of unnecessary items (5S)</t>
  </si>
  <si>
    <t>1. Check if all displayed units have no duplicate vehicle model variants
Note: Check the unit inventory (if necessary)</t>
  </si>
  <si>
    <t>1. Check if the display units are compliant</t>
  </si>
  <si>
    <t>1. Check if all displayed units have corresponding specs stands
2. Check if the specs sheet is updated and matches the displayed unit</t>
  </si>
  <si>
    <t>1. Standard training room 
Room size must be sufficient based on dealer category:
A – 37 &amp; above m²
B - 30 to 36 m²
C – 25 to 29 m²
D – 18 to 24 m²
E – 16 to 18 m²
F – 15 to 16 m²</t>
  </si>
  <si>
    <t>1. Check tools and equipment:
• Table and chairs
• Projector/TV
• External speaker with 3.5mm jack 
• HDMI and/or VGA cable 
• Presentation clicker
• Office Supplies
• Whiteboard</t>
  </si>
  <si>
    <t>1. Check connection being used by SE.</t>
  </si>
  <si>
    <t>1. Check if the dealer follows the minimum requirement for desktop/laptop
• CPU: At least Ryzen 5/Intel Core i5 or 
higher 
• RAM: At least 8GB DDR4 or higher 
• Web camera: At least 720p or higher 
• Microphone: Internal microphone 
• SSD/HDD: At least 512GB internal 
storage or higher 
• OS: Licensed Windows 10 or higher 
• Productivity: Licensed Microsoft Office 
(Excel, PowerPoint &amp; Word)</t>
  </si>
  <si>
    <t>1. Check if the Hero Car is compliant</t>
  </si>
  <si>
    <t>1. Check if there is a display car is equipped with accessories
2. Check if the display accessories are MMPC merchandise</t>
  </si>
  <si>
    <t>1. Check if there are no broken or damaged tiles on the showroom floor</t>
  </si>
  <si>
    <t>1. Check if the showroom ceiling is clean and free from cob web, no discolorations and stains</t>
  </si>
  <si>
    <t>1. Check if there are no busted lights in the showroom</t>
  </si>
  <si>
    <t>1. Check if the directional signages are compliant</t>
  </si>
  <si>
    <t>1. Check if the displays are within the current lineup only, no FUSO, Adventure, or any old model and no damages</t>
  </si>
  <si>
    <t>1. Check all A/C systems if they are properly functioning
2. Check the thermometer in the following areas and ensure the thermostat does not exceed 27°C:
-Showroom/Negotiation Area
-Showroom lounge</t>
  </si>
  <si>
    <t>1. Check if the customer lounge and negotiation area have enough sofas/chairs that are comfortable, well-maintained, free from tears, and meet the MMPC VI Standard Requirements
2. Check if the dealer is not using monobloc chairs in the showroom area</t>
  </si>
  <si>
    <t>1. Check if the amenity corner signage clearly states that it is intended for customers
2. Check if the amenity corner signage is clearly visible.</t>
  </si>
  <si>
    <t>1. Check if the amenity corner is compliant</t>
  </si>
  <si>
    <t>1. Check if the TV is working and accessible for viewing
2. Check if the Wi-Fi is available and  instruction on how to connect  to the Wi-Fi is available
3. Check if SE is doing proactive offering</t>
  </si>
  <si>
    <t>1. Check all restrooms designated for customers (Male, Female, PWD)
2. Check if the restrooms are well-lit</t>
  </si>
  <si>
    <t>1. Check the actual SPC board.
- 1 General SPC Board for Branch Head
- 1 for each Sales Team
2. Check the ff:
- Complete and correct data
- Correct Pattern
- With progress indicator</t>
  </si>
  <si>
    <t>1. Check Sales Activity Plan
2. Check if it follows a two-month rolling format
3. Check if the plan aligns with the actual activity</t>
  </si>
  <si>
    <t>1. Check the Gap analysis of the previous month
2. Check the Minutes of the Meeting (MOM) of the latest monthly Team Meeting to confirm if the Gap analysis was discussed</t>
  </si>
  <si>
    <t>1. Check List of low performing SEs for both Sales and SSI
2. Check training schedule
3. Check the coaching forms compiled by the SM/TL or Sales Trainer.
4. Check the latest role play records</t>
  </si>
  <si>
    <t>1. Check the availability of the area setting
2. Check market evaluation of the area
3. Check the assigned team in the area for saturation activity
Note: Check if the activity has been properly executed</t>
  </si>
  <si>
    <t>For 1st half, check if dealer has plan to conduct Prospect Party.
For 2nd half, check if dealer conducted Prospect Party. Check proof such as photo and attendance list.</t>
  </si>
  <si>
    <t>For 1st half, check if dealer has plan to have KOL.
For 2nd half, check if dealer conducted collaborated with KOL. Check proof such as photo and attendance list.</t>
  </si>
  <si>
    <t>Check all SEs are in the prescribed uniform.</t>
  </si>
  <si>
    <t>1. Interview 2-3 Ses
2. Ask about their understanding of the SPC structure
3. Ask the targets they recognize and follow
4. Check if their stated targets align with the actual SPC board</t>
  </si>
  <si>
    <t>1. Interview to 2-3 SEs
2. Check if SEs can identify the sources of new leads and repeat customers.</t>
  </si>
  <si>
    <t>1. Interview 2-3 SEs
2. Check if the definition of (Hot, Warm, Cold) is correct</t>
  </si>
  <si>
    <t>1. Interview 2-3 SEs
2. Check the Otoleap of SEs
2. Check if the date of lead creation matches the correct tagged rating status</t>
  </si>
  <si>
    <t>1. Interview 2-3 SEs
2. Check if the SEs can identify at least 3 items under Key Needs Item</t>
  </si>
  <si>
    <t>1. Interview 2-3 SEs
2. Check the approach of the SEs</t>
  </si>
  <si>
    <t>Ask SEs to present the updated hard copy of KANBAN material</t>
  </si>
  <si>
    <t>1. Interview 2-3 SEs
2. Check if the SEs can correctly enumerate the 6-point walk-around</t>
  </si>
  <si>
    <t>1. Interview 2-3 SEs
2. Ask how they stay informed about the latest discount policies
3. Request proof, such as a group chat message or minutes of the meeting (MOM)</t>
  </si>
  <si>
    <t>1. Interview 2-3 SEs
2. Ask how they stay informed about the latest updates
3. Request proof, such as a group chat message or minutes of the meeting (MOM)</t>
  </si>
  <si>
    <t>1. Interview 2-3 Ses
2. Check the requirement list provided to the customers</t>
  </si>
  <si>
    <t>1. Look for the actual Facebook page of the Dealer
2. Check if it follows MMPC Branding
3. Check who is responsible for marketing posts on the page, ideally from the Marketing Department</t>
  </si>
  <si>
    <t>1. Check the actual Facebook page of SEs
2. Check if the response time is within 15 minutes as per the standard</t>
  </si>
  <si>
    <t>1. Interview 2-3 SEs
2.  Check the most recent Facebook inquiry that includes a price discussion
3. Check If SEs provided formal computation and updated specification sheet</t>
  </si>
  <si>
    <t>1. Interview 2-3 SEs
2. Check if there are on-going loan application
3. Check if SEs actively inform customers about their loan status by requesting proof of communication or documentation</t>
  </si>
  <si>
    <t>1. Interview 2-3 SEs
2. Check if SEs can provide proof of informing customers about the release date and time of their recent vehicle release</t>
  </si>
  <si>
    <t>1. Interview 2-3 SEs
2. Check the most recent photos of released customers Proof should have the ff:
- Thank you board with customer name
- Congratualtions Banner</t>
  </si>
  <si>
    <t>1. Interview 2-3 SEs
2. Ask if they have special gift / amenities provided for releasing customers</t>
  </si>
  <si>
    <t>1. Check the latest Minutes of the Meeting (MOM) for the General Sales Meeting from the BH</t>
  </si>
  <si>
    <t>1. Check the latest Minutes of the Meeting (MOM) for the daily meeting from the SMs/TLs</t>
  </si>
  <si>
    <t>1. Check the previous month's report:
- SSI score trend 
-SSI by SE 
-VOC (Voice of Customers)
2. Check the Minutes of the Meeting (MOM) from the previous month to confirm if the SSI analysis was reported during GSM.</t>
  </si>
  <si>
    <t>1. Request the actual folder of release for the previous month from the Sales Admin/Accounting Staff; choose (3) samples.
2.Check if all required documents are complete and properly filled out with customer's signature</t>
  </si>
  <si>
    <t>1. Request the actual folder of release for the previous month from the Sales Admin/Accounting Staff; choose (3) samples.
2. Check if all key documents have been scanned and securely stored on a shared network or online drive and password-protected</t>
  </si>
  <si>
    <t>1. Check if all customer folders have proper labels and contain all necessary documents
2. Check if hard copies are securely stored in a locked filing cabinet.</t>
  </si>
  <si>
    <t>1. Request the actual folder of release for the previous month from the Sales Admin/Accounting Staff; choose (3) samples.
2. Check NVRC attachment: "Arrival Time" and "Departure Time" should be within 2hrs for Cash / PO Transaction</t>
  </si>
  <si>
    <t>1. Check the actual release area
2. Check if there are no vehicles parked in the release area aside from "for release" unit/s</t>
  </si>
  <si>
    <t>Check if the vehicle releasing area is located inside the showroom</t>
  </si>
  <si>
    <t xml:space="preserve">1. Check if the Leads Database is available and includes customer data from the past 5 years
2. Check if the database is being utilized, monitored, and updated.
Sample:
Current year = 2025 → Extract customer database for 2019 and below </t>
  </si>
  <si>
    <t>1. Check if there are fleet accounts
2. Check if fleet monitoring exists
3. Check if the fleet monitoring contact plan and tracking is updated</t>
  </si>
  <si>
    <t>1. Check the Daily Release Monitoring
2. Check if the date in the PDI column is 3 days prior to delivery date</t>
  </si>
  <si>
    <t>1. Check if all releases for the day are recorded on the Daily Release Monitoring
2. Check the current status of the vehicle vs. the monitoring sheet
Note: If no release for the day, check the scheduled release for the next 2 days.</t>
  </si>
  <si>
    <t>1. Check photo or message of sending Birthday and Anniversary Greetings
2. Check if the monitoring is updated</t>
  </si>
  <si>
    <t>1. Check if there are valid red alert items
2. Check if the valid Red Alert items are recorded in the complaint monitoring file
3. Check if the monitoring file is updated
4. Check if the monitoring file was submitted to MMPC on time by reviewing the submission date</t>
  </si>
  <si>
    <t>1. Check if the KPI Monitoring Sheet is updated with complete details, including data from the previous month</t>
  </si>
  <si>
    <t>1. Access the YANA and select New Vehicle &gt; Delivery
2. Extract all data with a Delivery Date exactly three business days from the actual visit
3. Check if the "Created On" date falls within two business days of the Delivery Date</t>
  </si>
  <si>
    <t>1. Based on the monitoring list of those with SIP access, request them to open and navigate the system.
2. Check if the sales staff are aware of other members who have access to SIP</t>
  </si>
  <si>
    <t>1. Check if PIC submitted monthly manpower report</t>
  </si>
  <si>
    <t>1. Check actual manpower list in the dealership</t>
  </si>
  <si>
    <t>1. All red alerts received should be reflected on the Complaint Tracker Monitoring</t>
  </si>
  <si>
    <t>Check actual through respective FSM for the accomplishment</t>
  </si>
  <si>
    <t>Check actual through Sales Control for the accomplishment</t>
  </si>
  <si>
    <t>1. Check the training record from Training Department</t>
  </si>
  <si>
    <t>1. Check if PIC submitted monthly report</t>
  </si>
  <si>
    <t>Main Category</t>
  </si>
  <si>
    <t>Grand Total</t>
  </si>
  <si>
    <t>Workshop Driveway</t>
  </si>
  <si>
    <t>Workshop Maintenance</t>
  </si>
  <si>
    <t>Tools Storage Room</t>
  </si>
  <si>
    <t>Components Repair Room</t>
  </si>
  <si>
    <t>Waste Oil Storage</t>
  </si>
  <si>
    <t>Warranty Parts Storage</t>
  </si>
  <si>
    <t>Scrapped Parts Storage</t>
  </si>
  <si>
    <t>Dismantled Parts Storage</t>
  </si>
  <si>
    <t>Service Reception Area</t>
  </si>
  <si>
    <t>CRM Requirements</t>
  </si>
  <si>
    <t>Service Documents</t>
  </si>
  <si>
    <t>Employee Facilities</t>
  </si>
  <si>
    <t>Training Room</t>
  </si>
  <si>
    <t>Conference Room</t>
  </si>
  <si>
    <t>Appointment</t>
  </si>
  <si>
    <t>Repair</t>
  </si>
  <si>
    <t>Delivery</t>
  </si>
  <si>
    <t>Customers' Lounge</t>
  </si>
  <si>
    <t>Employees' Uniform</t>
  </si>
  <si>
    <t>Offering of date and time</t>
  </si>
  <si>
    <t>Reason of Rejection</t>
  </si>
  <si>
    <t>Contact Details</t>
  </si>
  <si>
    <t>Blocking of SA for Walk-In customer</t>
  </si>
  <si>
    <t>SA assignee</t>
  </si>
  <si>
    <t>Reconfirmation Call</t>
  </si>
  <si>
    <t>Appointment Welcome Board</t>
  </si>
  <si>
    <t>Dedicated Appointment and Walk-In Bay</t>
  </si>
  <si>
    <t>Queuing system</t>
  </si>
  <si>
    <t>Peak hours</t>
  </si>
  <si>
    <t>Walk Around Inspection</t>
  </si>
  <si>
    <t>Protective Covers</t>
  </si>
  <si>
    <t>Vehicle Status Tag</t>
  </si>
  <si>
    <t>Direct Reption</t>
  </si>
  <si>
    <t>Promised Time</t>
  </si>
  <si>
    <t>Cost Estimate</t>
  </si>
  <si>
    <t>SA Individual Note</t>
  </si>
  <si>
    <t>Standard PMS Menu</t>
  </si>
  <si>
    <t>Offering of amenities</t>
  </si>
  <si>
    <t>Shuttle Service Assistance</t>
  </si>
  <si>
    <t>Assigned Sales Executive</t>
  </si>
  <si>
    <t>Job Progress Monitoring</t>
  </si>
  <si>
    <t>Carwash Control Board</t>
  </si>
  <si>
    <t>Technicians Clock-In</t>
  </si>
  <si>
    <t>Parts Availability</t>
  </si>
  <si>
    <t>Pre-Picking</t>
  </si>
  <si>
    <t>Emergency Parts</t>
  </si>
  <si>
    <t>Parts 5S</t>
  </si>
  <si>
    <t>Bin Locator</t>
  </si>
  <si>
    <t>Dead Stock Rate</t>
  </si>
  <si>
    <t>Unapproved Job</t>
  </si>
  <si>
    <t>Final Walk Around Inspection</t>
  </si>
  <si>
    <t>Next PMS Reminder</t>
  </si>
  <si>
    <t>Car Return</t>
  </si>
  <si>
    <t>Actual Cost</t>
  </si>
  <si>
    <t>Replaced Parts</t>
  </si>
  <si>
    <t>QVOC Reminder</t>
  </si>
  <si>
    <t>Removal of Protective Cover</t>
  </si>
  <si>
    <t>Follow-Up Call</t>
  </si>
  <si>
    <t>Complaint Monitoring Tracking Report</t>
  </si>
  <si>
    <t>MAM</t>
  </si>
  <si>
    <t>MOM</t>
  </si>
  <si>
    <t>Suggestion Scheme</t>
  </si>
  <si>
    <t>Branch</t>
  </si>
  <si>
    <t>Dealer Group</t>
  </si>
  <si>
    <t>Bajada</t>
  </si>
  <si>
    <t>Karasia Incorporated</t>
  </si>
  <si>
    <t>Bulua</t>
  </si>
  <si>
    <t>Fast Autotoworld Philippines Corporation - Mindanao</t>
  </si>
  <si>
    <t>Cebu South</t>
  </si>
  <si>
    <t>Fast Autotoworld Philippines Corporation - Visayas</t>
  </si>
  <si>
    <t>Commonwealth</t>
  </si>
  <si>
    <t>Peak Motors Phils. Incorporated</t>
  </si>
  <si>
    <t>Dasmariñas</t>
  </si>
  <si>
    <t>Jabez Motors Corporation</t>
  </si>
  <si>
    <t>Gorordo</t>
  </si>
  <si>
    <t>Gateway Motors Cebu, Inc.</t>
  </si>
  <si>
    <t>Kalookan</t>
  </si>
  <si>
    <t>Union Motors Corporation</t>
  </si>
  <si>
    <t>Lucena</t>
  </si>
  <si>
    <t>Mizukawa Motors Corp.</t>
  </si>
  <si>
    <t>Mactan</t>
  </si>
  <si>
    <t>Manila Bay</t>
  </si>
  <si>
    <t>Marcos Highway</t>
  </si>
  <si>
    <t xml:space="preserve">Diamond Motors Corporation </t>
  </si>
  <si>
    <t>Matina</t>
  </si>
  <si>
    <t>Molino</t>
  </si>
  <si>
    <t>Negros</t>
  </si>
  <si>
    <t>Quezon Avenue</t>
  </si>
  <si>
    <t>San Fernando</t>
  </si>
  <si>
    <t>Carworld Incorporated</t>
  </si>
  <si>
    <t>Sucat</t>
  </si>
  <si>
    <t xml:space="preserve">Citimotors Incorporation </t>
  </si>
  <si>
    <t>Blulebird Motor Corp.</t>
  </si>
  <si>
    <t>Avescor Motors Incorporated</t>
  </si>
  <si>
    <t>Motor Plaza Incorporated</t>
  </si>
  <si>
    <t>Freeway Motor Sales - Baliuag</t>
  </si>
  <si>
    <t>Freeway Motor Sales - Cabanatuan</t>
  </si>
  <si>
    <t>Alpine Motors Corporation</t>
  </si>
  <si>
    <t>SJ Legacy Motors, Inc.</t>
  </si>
  <si>
    <t>Mindanao Integrated Commercial Enterprises Inc.</t>
  </si>
  <si>
    <t>North Alliance Motors Corporation</t>
  </si>
  <si>
    <t>Super Fast Motors Corporation</t>
  </si>
  <si>
    <t>Grand Canyon Multi Holdings Inc.</t>
  </si>
  <si>
    <t>Maximotors Corporation</t>
  </si>
  <si>
    <t>Caleb Motors Corporation</t>
  </si>
  <si>
    <t>Amcar Automotive Corporation</t>
  </si>
  <si>
    <t>MG Gateway South Corp.</t>
  </si>
  <si>
    <t>Evolander Motors Corporation</t>
  </si>
  <si>
    <t xml:space="preserve">Global Excellence Motors, Inc. </t>
  </si>
  <si>
    <t>Zamboanga Motors Incorporated</t>
  </si>
  <si>
    <t>NO</t>
  </si>
  <si>
    <t>N/A</t>
  </si>
  <si>
    <t>A</t>
  </si>
  <si>
    <t>B</t>
  </si>
  <si>
    <t>Y</t>
  </si>
  <si>
    <t>N</t>
  </si>
  <si>
    <t>BOM</t>
  </si>
  <si>
    <t>SALES MANAGER</t>
  </si>
  <si>
    <t>ASM</t>
  </si>
  <si>
    <t>UTILITY</t>
  </si>
  <si>
    <t>GENERAL MANAGER</t>
  </si>
  <si>
    <t>CE CENTRAL</t>
  </si>
  <si>
    <t>Escalation</t>
  </si>
  <si>
    <t>IT</t>
  </si>
  <si>
    <t>MARKETING</t>
  </si>
  <si>
    <t>CENTRAL ADMIN</t>
  </si>
  <si>
    <t>Findings</t>
  </si>
  <si>
    <t>GENERAL MANAGER
CE CENTRAL</t>
  </si>
  <si>
    <t>MMPC CS TEAM</t>
  </si>
  <si>
    <t>MMPC TRAINING TEAM</t>
  </si>
  <si>
    <t>LOGISTIC</t>
  </si>
  <si>
    <t>ALL DEALER RELEASING AREA IS OUTSIDE THE SHOWROOM</t>
  </si>
  <si>
    <t>MMPC YANA SYSTEM</t>
  </si>
  <si>
    <t>BOM Task</t>
  </si>
  <si>
    <t>Checker</t>
  </si>
  <si>
    <t>Person Accountable</t>
  </si>
  <si>
    <t>butas ang signage</t>
  </si>
  <si>
    <t>nilipad ng bagyo ang pylon</t>
  </si>
  <si>
    <t>GM</t>
  </si>
  <si>
    <t>INVENTORY</t>
  </si>
  <si>
    <t>MARKETING / PURCHASING</t>
  </si>
  <si>
    <t>&gt; check for compliance</t>
  </si>
  <si>
    <t>PM</t>
  </si>
  <si>
    <t>DND</t>
  </si>
  <si>
    <t>MARKETING
PM</t>
  </si>
  <si>
    <t>PURCHASING</t>
  </si>
  <si>
    <t>complete amenities</t>
  </si>
  <si>
    <t>&gt; Accomplish Inspection Request
&gt; Submit &amp; Follow up with PM
&gt; Monitor progress until completion
&gt; signs completion report</t>
  </si>
  <si>
    <t>&gt; SM to advise BOM of any damage
&gt; BOM prepare request for PMS or damage repair and send to Inventory
&gt; BOM must maintain aTest drive monitoring file record which includes, km reading, PMS and damage record. 
&gt; PMS interval will be based on prescribed km reading or prescribed months whichever comes first.</t>
  </si>
  <si>
    <t>&gt; prepare request for tent design standards from marketing
&gt; submit purchase request with design to Purchasing</t>
  </si>
  <si>
    <t>&gt; check if route map is available
&gt; advise GM if no route map is available.
&gt; follow up until compliant.</t>
  </si>
  <si>
    <t>&gt; check for compliance
&gt; advise GM of non compliance.
&gt; follow up until compliant.</t>
  </si>
  <si>
    <t>&gt; check for compliance
&gt; Accomplish Inspection Request
&gt; Submit &amp; Follow up with PM
&gt; Monitor progress until completion
&gt; signs completion report</t>
  </si>
  <si>
    <t>&gt; check for compliance
&gt; advise IT of non compliance.
&gt; follow up until compliant.</t>
  </si>
  <si>
    <t>&gt; check for compliance
&gt; GM to submit request to purchasing
&gt; BOM to monitor progress until compliant.</t>
  </si>
  <si>
    <t>&gt; check for compliance
&gt; follow up request for replenishment from GM
&gt; BOM to replenish items</t>
  </si>
  <si>
    <t>&gt; check for compliance
&gt; Remind utility personnel of daily 5S task.</t>
  </si>
  <si>
    <t>&gt; refer to GM</t>
  </si>
  <si>
    <t>&gt; Assigned to CE Central</t>
  </si>
  <si>
    <t xml:space="preserve">All required documents are complete and duly signed by the customer, including:
1. Customer Information Sheet (CIS) and DPA Form  
2. Copy of Customer ID  
3. MMVSO (Vehicle Sales Order)  
4. SE Delivery Declaration Form (SDDF)
5. New Vehicle Releasing Checklist (NVRC)  
6. Sales Invoice (SI)  
7. Delivery Receipt (DR)
8. MMPC and Dealer’s copy of Warranty Certificate </t>
  </si>
  <si>
    <t>&gt; SM to perform doc scanning and upload in file storage.
&gt; BOM to check for compliance.</t>
  </si>
  <si>
    <t>&gt; check for compliance
&gt; advise GM of non compliance.
&gt; follow up until compliant.
&gt; BOM in charge for storage and safekeep.</t>
  </si>
  <si>
    <t>&gt; check for compliance
&gt; recommend compliance plan
&gt; consult with support teams</t>
  </si>
  <si>
    <t>&gt; check for compliance
&gt; system based release monitoring</t>
  </si>
  <si>
    <t>&gt; check for compliance
&gt; system based release timing</t>
  </si>
  <si>
    <t>&gt; check for compliance
&gt; follow up with SMs
&gt; Monitor progress until compliant.
&gt; BOM submit to Central Admin</t>
  </si>
  <si>
    <t>&gt; check for compliance
&gt; actual count, manpower report versus warm bodies.</t>
  </si>
  <si>
    <t>&gt; check for compliance
&gt; submit to Central Admin</t>
  </si>
  <si>
    <t>&gt; Assigned to Central Admin</t>
  </si>
  <si>
    <t>&gt; submit report to distributor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</si>
</sst>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3">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i/>
      <sz val="16"/>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sz val="16"/>
      <color rgb="FF000000"/>
      <name val="MMC OFFICE"/>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1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1" fontId="13" fillId="0" borderId="11" xfId="0" applyNumberFormat="1" applyFont="1" applyBorder="1" applyAlignment="1">
      <alignment horizontal="center" vertical="center"/>
    </xf>
    <xf numFmtId="49" fontId="13" fillId="0" borderId="8" xfId="0" applyNumberFormat="1" applyFont="1" applyBorder="1" applyAlignment="1">
      <alignment horizontal="center" vertical="center"/>
    </xf>
    <xf numFmtId="9" fontId="13" fillId="0" borderId="9" xfId="4" applyFont="1" applyBorder="1" applyAlignment="1">
      <alignment horizontal="center" vertical="center"/>
    </xf>
    <xf numFmtId="0" fontId="14" fillId="0" borderId="10" xfId="0" applyFont="1" applyBorder="1" applyAlignment="1">
      <alignment horizontal="center" vertical="center"/>
    </xf>
    <xf numFmtId="0" fontId="14" fillId="4" borderId="10" xfId="0" applyFont="1" applyFill="1" applyBorder="1" applyAlignment="1">
      <alignment horizontal="center" vertical="center"/>
    </xf>
    <xf numFmtId="0" fontId="13" fillId="0" borderId="0" xfId="0" applyFont="1" applyAlignment="1">
      <alignment horizontal="right" vertical="center"/>
    </xf>
    <xf numFmtId="0" fontId="13" fillId="2" borderId="7" xfId="0" applyFont="1" applyFill="1" applyBorder="1" applyAlignment="1" applyProtection="1">
      <alignment vertical="center"/>
      <protection locked="0"/>
    </xf>
    <xf numFmtId="0" fontId="13" fillId="0" borderId="0" xfId="0" applyFont="1" applyAlignment="1">
      <alignment vertical="center"/>
    </xf>
    <xf numFmtId="0" fontId="13" fillId="0" borderId="6" xfId="0" applyFont="1" applyBorder="1" applyAlignment="1">
      <alignment vertical="center"/>
    </xf>
    <xf numFmtId="0" fontId="14" fillId="0" borderId="9" xfId="0" applyFont="1" applyBorder="1" applyAlignment="1">
      <alignment horizontal="center" vertical="center"/>
    </xf>
    <xf numFmtId="1" fontId="14" fillId="0" borderId="11" xfId="0" applyNumberFormat="1" applyFont="1" applyBorder="1" applyAlignment="1">
      <alignment horizontal="center" vertical="center"/>
    </xf>
    <xf numFmtId="9" fontId="14"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1" xfId="0" applyFont="1" applyFill="1" applyBorder="1" applyAlignment="1">
      <alignment horizontal="center" vertical="center"/>
    </xf>
    <xf numFmtId="0" fontId="14" fillId="3" borderId="10" xfId="0" applyFont="1" applyFill="1" applyBorder="1" applyAlignment="1">
      <alignment horizontal="center" vertical="center"/>
    </xf>
    <xf numFmtId="0" fontId="15" fillId="0" borderId="5" xfId="0" applyFont="1" applyBorder="1" applyAlignment="1">
      <alignment vertical="center"/>
    </xf>
    <xf numFmtId="2" fontId="15" fillId="0" borderId="0" xfId="0" applyNumberFormat="1" applyFont="1" applyAlignment="1">
      <alignment horizontal="center" vertical="center"/>
    </xf>
    <xf numFmtId="2" fontId="16" fillId="0" borderId="0" xfId="0" applyNumberFormat="1" applyFont="1" applyAlignment="1">
      <alignment horizontal="center" vertical="center"/>
    </xf>
    <xf numFmtId="0" fontId="16" fillId="0" borderId="6" xfId="0" applyFont="1" applyBorder="1" applyAlignment="1">
      <alignment horizontal="center" vertical="center"/>
    </xf>
    <xf numFmtId="0" fontId="16" fillId="3" borderId="8" xfId="0" applyFont="1" applyFill="1" applyBorder="1" applyAlignment="1">
      <alignment horizontal="center" vertical="center"/>
    </xf>
    <xf numFmtId="0" fontId="16" fillId="3" borderId="18" xfId="0" applyFont="1" applyFill="1" applyBorder="1" applyAlignment="1">
      <alignment horizontal="center" vertical="center"/>
    </xf>
    <xf numFmtId="0" fontId="16" fillId="3" borderId="11" xfId="0" applyFont="1" applyFill="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 fontId="15"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19" xfId="0" applyFont="1" applyBorder="1" applyAlignment="1">
      <alignment horizontal="center" vertical="center"/>
    </xf>
    <xf numFmtId="9" fontId="17" fillId="0" borderId="0" xfId="4" applyFont="1" applyFill="1" applyBorder="1" applyAlignment="1" applyProtection="1">
      <alignment horizontal="center" vertical="center"/>
    </xf>
    <xf numFmtId="9" fontId="17" fillId="0" borderId="6" xfId="4" applyFont="1" applyFill="1" applyBorder="1" applyAlignment="1" applyProtection="1">
      <alignment horizontal="center" vertical="center"/>
    </xf>
    <xf numFmtId="0" fontId="16" fillId="0" borderId="5"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horizontal="center"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1" fillId="0" borderId="0" xfId="0" applyFont="1" applyAlignment="1">
      <alignment horizontal="left" vertical="top"/>
    </xf>
    <xf numFmtId="0" fontId="20" fillId="0" borderId="0" xfId="0" applyFont="1" applyAlignment="1">
      <alignment horizontal="left" vertical="top"/>
    </xf>
    <xf numFmtId="0" fontId="20" fillId="0" borderId="0" xfId="0" applyFont="1" applyAlignment="1">
      <alignment horizontal="center" vertical="center"/>
    </xf>
    <xf numFmtId="0" fontId="20" fillId="0" borderId="0" xfId="0" applyFont="1"/>
    <xf numFmtId="0" fontId="20" fillId="0" borderId="0" xfId="0" applyFont="1" applyAlignment="1">
      <alignment horizontal="center" vertical="center" wrapText="1"/>
    </xf>
    <xf numFmtId="0" fontId="21"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horizontal="center" vertical="top" wrapText="1"/>
    </xf>
    <xf numFmtId="0" fontId="21" fillId="0" borderId="0" xfId="0" applyFont="1" applyAlignment="1">
      <alignment horizontal="center" vertical="top" wrapText="1"/>
    </xf>
    <xf numFmtId="0" fontId="21" fillId="0" borderId="0" xfId="0" applyFont="1" applyAlignment="1">
      <alignment horizontal="left" vertical="top" wrapText="1"/>
    </xf>
    <xf numFmtId="0" fontId="21" fillId="0" borderId="16" xfId="0" applyFont="1" applyBorder="1" applyAlignment="1">
      <alignment horizontal="left" vertical="top" wrapText="1"/>
    </xf>
    <xf numFmtId="0" fontId="21" fillId="0" borderId="17" xfId="0" applyFont="1" applyBorder="1" applyAlignment="1">
      <alignment horizontal="left" vertical="top" wrapText="1"/>
    </xf>
    <xf numFmtId="0" fontId="20" fillId="0" borderId="0" xfId="0" applyFont="1" applyAlignment="1">
      <alignment horizontal="left" vertical="top" wrapText="1"/>
    </xf>
    <xf numFmtId="0" fontId="21" fillId="0" borderId="0" xfId="0" applyFont="1"/>
    <xf numFmtId="1" fontId="15" fillId="0" borderId="11" xfId="0" quotePrefix="1" applyNumberFormat="1" applyFont="1" applyBorder="1" applyAlignment="1">
      <alignment horizontal="center" vertical="center"/>
    </xf>
    <xf numFmtId="0" fontId="22" fillId="0" borderId="0" xfId="0" applyFont="1" applyAlignment="1">
      <alignment horizontal="center" vertical="center" wrapText="1"/>
    </xf>
    <xf numFmtId="0" fontId="13" fillId="0" borderId="9" xfId="0" quotePrefix="1" applyFont="1" applyBorder="1" applyAlignment="1">
      <alignment horizontal="center" vertical="center"/>
    </xf>
    <xf numFmtId="0" fontId="22" fillId="0" borderId="0" xfId="0" applyFont="1" applyAlignment="1">
      <alignment horizontal="left" vertical="top" wrapText="1"/>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16" xfId="0" applyFont="1" applyBorder="1" applyAlignment="1">
      <alignment horizontal="left" vertical="center" wrapText="1"/>
    </xf>
    <xf numFmtId="0" fontId="21" fillId="0" borderId="17" xfId="0" applyFont="1" applyBorder="1" applyAlignment="1">
      <alignment horizontal="left" vertical="center" wrapText="1"/>
    </xf>
    <xf numFmtId="0" fontId="11" fillId="0" borderId="0" xfId="0" applyFont="1" applyAlignment="1">
      <alignment vertical="center"/>
    </xf>
    <xf numFmtId="0" fontId="20" fillId="0" borderId="0" xfId="0" applyFont="1" applyAlignment="1">
      <alignment horizontal="left" vertical="center"/>
    </xf>
    <xf numFmtId="0" fontId="12" fillId="0" borderId="0" xfId="0" applyFont="1" applyAlignment="1">
      <alignment vertical="center"/>
    </xf>
    <xf numFmtId="0" fontId="21"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5" fillId="0" borderId="11" xfId="0" applyFont="1" applyBorder="1" applyAlignment="1">
      <alignment horizontal="left" vertical="center" wrapText="1"/>
    </xf>
    <xf numFmtId="0" fontId="15" fillId="0" borderId="16" xfId="0" applyFont="1" applyBorder="1" applyAlignment="1">
      <alignment horizontal="left" vertical="center" wrapText="1"/>
    </xf>
    <xf numFmtId="9" fontId="15" fillId="0" borderId="11" xfId="4" applyFont="1" applyBorder="1" applyAlignment="1">
      <alignment horizontal="center" vertical="center"/>
    </xf>
    <xf numFmtId="9" fontId="15" fillId="0" borderId="12" xfId="4" applyFont="1" applyBorder="1" applyAlignment="1">
      <alignment horizontal="center" vertical="center"/>
    </xf>
    <xf numFmtId="0" fontId="14" fillId="0" borderId="5" xfId="0" applyFont="1" applyBorder="1" applyAlignment="1">
      <alignment horizontal="left" vertical="center"/>
    </xf>
    <xf numFmtId="0" fontId="14" fillId="0" borderId="0" xfId="0" applyFont="1" applyAlignment="1">
      <alignment horizontal="left" vertical="center"/>
    </xf>
    <xf numFmtId="0" fontId="14"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3" fillId="2" borderId="1" xfId="0" applyFont="1" applyFill="1" applyBorder="1" applyAlignment="1">
      <alignment vertical="center"/>
    </xf>
    <xf numFmtId="0" fontId="13" fillId="2" borderId="1" xfId="0" applyFont="1" applyFill="1" applyBorder="1" applyAlignment="1" applyProtection="1">
      <alignment vertical="center"/>
      <protection locked="0"/>
    </xf>
    <xf numFmtId="0" fontId="16" fillId="0" borderId="5" xfId="0" applyFont="1" applyBorder="1" applyAlignment="1">
      <alignment horizontal="left" vertical="center"/>
    </xf>
    <xf numFmtId="0" fontId="16" fillId="0" borderId="0" xfId="0" applyFont="1" applyAlignment="1">
      <alignment horizontal="left" vertical="center"/>
    </xf>
    <xf numFmtId="0" fontId="16" fillId="0" borderId="6" xfId="0" applyFont="1" applyBorder="1" applyAlignment="1">
      <alignment horizontal="left" vertical="center"/>
    </xf>
    <xf numFmtId="0" fontId="16" fillId="3" borderId="9"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4" fillId="3" borderId="9" xfId="0" applyFont="1" applyFill="1" applyBorder="1" applyAlignment="1">
      <alignment horizontal="center" vertical="center"/>
    </xf>
    <xf numFmtId="0" fontId="13" fillId="0" borderId="9" xfId="0" applyFont="1" applyBorder="1" applyAlignment="1">
      <alignment horizontal="center" vertical="center"/>
    </xf>
    <xf numFmtId="2" fontId="14" fillId="0" borderId="8" xfId="0" applyNumberFormat="1" applyFont="1" applyBorder="1" applyAlignment="1">
      <alignment horizontal="right" vertical="center"/>
    </xf>
    <xf numFmtId="2" fontId="14" fillId="0" borderId="9" xfId="0" applyNumberFormat="1" applyFont="1" applyBorder="1" applyAlignment="1">
      <alignment horizontal="right"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8" fillId="0" borderId="3" xfId="0" applyFont="1" applyBorder="1" applyAlignment="1">
      <alignment horizontal="right" vertical="center"/>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5">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color rgb="FF006100"/>
      </font>
      <fill>
        <patternFill>
          <bgColor rgb="FFC6EFCE"/>
        </patternFill>
      </fill>
    </dxf>
    <dxf>
      <font>
        <color rgb="FF9C0006"/>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rgb="FF000000"/>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1" defaultTableStyle="TableStyleMedium2" defaultPivotStyle="PivotStyleMedium9">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pivotCacheDefinition" Target="pivotCache/pivotCacheDefinition1.xml"/><Relationship Id="rId12" Type="http://schemas.openxmlformats.org/officeDocument/2006/relationships/calcChain" Target="calcChain.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Customer Engagement and Showroom Operations</c:v>
                </c:pt>
              </c:strCache>
            </c:strRef>
          </c:tx>
          <c:spPr>
            <a:ln w="28575" cap="rnd">
              <a:solidFill>
                <a:schemeClr val="accent5"/>
              </a:solidFill>
              <a:round/>
            </a:ln>
            <a:effectLst/>
          </c:spPr>
          <c:marker>
            <c:symbol val="none"/>
          </c:marker>
          <c:cat>
            <c:strRef>
              <c:f>Summary!$B$16:$B$28</c:f>
              <c:strCache>
                <c:ptCount val="13"/>
                <c:pt idx="0">
                  <c:v>Facilities</c:v>
                </c:pt>
                <c:pt idx="1">
                  <c:v>Systems</c:v>
                </c:pt>
                <c:pt idx="2">
                  <c:v>Manpower</c:v>
                </c:pt>
                <c:pt idx="3">
                  <c:v>Lead Generation and Management</c:v>
                </c:pt>
                <c:pt idx="4">
                  <c:v>Needs Analysis</c:v>
                </c:pt>
                <c:pt idx="5">
                  <c:v>Customer Engagement and Showroom Operations</c:v>
                </c:pt>
                <c:pt idx="6">
                  <c:v>Product Presentation and Test Drive</c:v>
                </c:pt>
                <c:pt idx="7">
                  <c:v>Deal and Closing Management</c:v>
                </c:pt>
                <c:pt idx="8">
                  <c:v>Application Process Support</c:v>
                </c:pt>
                <c:pt idx="9">
                  <c:v>Sales Operation Management</c:v>
                </c:pt>
                <c:pt idx="10">
                  <c:v>Vehicle Release Management</c:v>
                </c:pt>
                <c:pt idx="11">
                  <c:v>Post-Release Customer Management</c:v>
                </c:pt>
                <c:pt idx="12">
                  <c:v>Mandatory Reports</c:v>
                </c:pt>
              </c:strCache>
            </c:strRef>
          </c:cat>
          <c:val>
            <c:numRef>
              <c:f>Summary!$F$16:$F$28</c:f>
              <c:numCache>
                <c:formatCode>0%</c:formatCode>
                <c:ptCount val="13"/>
                <c:pt idx="0">
                  <c:v>1</c:v>
                </c:pt>
                <c:pt idx="1">
                  <c:v>0.5</c:v>
                </c:pt>
                <c:pt idx="2">
                  <c:v>0.8</c:v>
                </c:pt>
                <c:pt idx="3">
                  <c:v>0.55555555555555558</c:v>
                </c:pt>
                <c:pt idx="4">
                  <c:v>1</c:v>
                </c:pt>
                <c:pt idx="5">
                  <c:v>0.75</c:v>
                </c:pt>
                <c:pt idx="6">
                  <c:v>0.83333333333333337</c:v>
                </c:pt>
                <c:pt idx="7">
                  <c:v>1</c:v>
                </c:pt>
                <c:pt idx="8">
                  <c:v>1</c:v>
                </c:pt>
                <c:pt idx="9">
                  <c:v>1</c:v>
                </c:pt>
                <c:pt idx="10">
                  <c:v>0.81818181818181823</c:v>
                </c:pt>
                <c:pt idx="11">
                  <c:v>0.66666666666666663</c:v>
                </c:pt>
                <c:pt idx="12">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1</c:v>
                </c:pt>
                <c:pt idx="1">
                  <c:v>0.87878787878787878</c:v>
                </c:pt>
                <c:pt idx="2">
                  <c:v>1</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29</xdr:row>
      <xdr:rowOff>100620</xdr:rowOff>
    </xdr:from>
    <xdr:to>
      <xdr:col>6</xdr:col>
      <xdr:colOff>1315012</xdr:colOff>
      <xdr:row>42</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29</xdr:row>
      <xdr:rowOff>93429</xdr:rowOff>
    </xdr:from>
    <xdr:to>
      <xdr:col>4</xdr:col>
      <xdr:colOff>304800</xdr:colOff>
      <xdr:row>42</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44</xdr:row>
      <xdr:rowOff>10887</xdr:rowOff>
    </xdr:from>
    <xdr:to>
      <xdr:col>2</xdr:col>
      <xdr:colOff>763411</xdr:colOff>
      <xdr:row>49</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43</xdr:row>
      <xdr:rowOff>163286</xdr:rowOff>
    </xdr:from>
    <xdr:to>
      <xdr:col>5</xdr:col>
      <xdr:colOff>55084</xdr:colOff>
      <xdr:row>49</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Sales Manager</a:t>
          </a:r>
          <a:r>
            <a:rPr lang="en-US" sz="1050" baseline="0">
              <a:latin typeface="MMC OFFICE" panose="00000500000000000000" pitchFamily="2" charset="0"/>
            </a:rPr>
            <a:t>: </a:t>
          </a:r>
          <a:endParaRPr lang="en-US" sz="1100" baseline="0">
            <a:latin typeface="MMC OFFICE" panose="00000500000000000000" pitchFamily="2" charset="0"/>
          </a:endParaRPr>
        </a:p>
      </xdr:txBody>
    </xdr:sp>
    <xdr:clientData/>
  </xdr:twoCellAnchor>
  <xdr:twoCellAnchor>
    <xdr:from>
      <xdr:col>5</xdr:col>
      <xdr:colOff>174433</xdr:colOff>
      <xdr:row>43</xdr:row>
      <xdr:rowOff>158173</xdr:rowOff>
    </xdr:from>
    <xdr:to>
      <xdr:col>6</xdr:col>
      <xdr:colOff>1318581</xdr:colOff>
      <xdr:row>49</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74">
      <pivotArea outline="0" collapsedLevelsAreSubtotals="1" fieldPosition="0"/>
    </format>
    <format dxfId="73">
      <pivotArea field="1" type="button" dataOnly="0" labelOnly="1" outline="0" axis="axisCol" fieldPosition="0"/>
    </format>
    <format dxfId="72">
      <pivotArea type="topRight" dataOnly="0" labelOnly="1" outline="0" fieldPosition="0"/>
    </format>
    <format dxfId="71">
      <pivotArea dataOnly="0" labelOnly="1" outline="0" fieldPosition="0">
        <references count="1">
          <reference field="1" count="0"/>
        </references>
      </pivotArea>
    </format>
    <format dxfId="70">
      <pivotArea dataOnly="0" labelOnly="1" grandCol="1" outline="0" fieldPosition="0"/>
    </format>
    <format dxfId="69">
      <pivotArea outline="0" collapsedLevelsAreSubtotals="1" fieldPosition="0"/>
    </format>
    <format dxfId="68">
      <pivotArea field="1" type="button" dataOnly="0" labelOnly="1" outline="0" axis="axisCol" fieldPosition="0"/>
    </format>
    <format dxfId="67">
      <pivotArea type="topRight" dataOnly="0" labelOnly="1" outline="0" fieldPosition="0"/>
    </format>
    <format dxfId="66">
      <pivotArea dataOnly="0" labelOnly="1" outline="0" fieldPosition="0">
        <references count="1">
          <reference field="1" count="0"/>
        </references>
      </pivotArea>
    </format>
    <format dxfId="65">
      <pivotArea dataOnly="0" labelOnly="1" grandCol="1" outline="0"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1" type="button" dataOnly="0" labelOnly="1" outline="0" axis="axisCol" fieldPosition="0"/>
    </format>
    <format dxfId="60">
      <pivotArea type="topRight" dataOnly="0" labelOnly="1" outline="0" fieldPosition="0"/>
    </format>
    <format dxfId="59">
      <pivotArea field="3" type="button" dataOnly="0" labelOnly="1" outline="0" axis="axisRow" fieldPosition="1"/>
    </format>
    <format dxfId="58">
      <pivotArea dataOnly="0" labelOnly="1" grandRow="1" outline="0" fieldPosition="0"/>
    </format>
    <format dxfId="57">
      <pivotArea dataOnly="0" labelOnly="1" outline="0" fieldPosition="0">
        <references count="1">
          <reference field="1"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 type="button" dataOnly="0" labelOnly="1" outline="0" axis="axisCol" fieldPosition="0"/>
    </format>
    <format dxfId="51">
      <pivotArea type="topRight" dataOnly="0" labelOnly="1" outline="0" fieldPosition="0"/>
    </format>
    <format dxfId="50">
      <pivotArea field="3" type="button" dataOnly="0" labelOnly="1" outline="0" axis="axisRow" fieldPosition="1"/>
    </format>
    <format dxfId="49">
      <pivotArea dataOnly="0" labelOnly="1" grandRow="1" outline="0" fieldPosition="0"/>
    </format>
    <format dxfId="48">
      <pivotArea dataOnly="0" labelOnly="1" outline="0" fieldPosition="0">
        <references count="1">
          <reference field="1" count="0"/>
        </references>
      </pivotArea>
    </format>
    <format dxfId="47">
      <pivotArea dataOnly="0" labelOnly="1" grandCol="1" outline="0" fieldPosition="0"/>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1" type="button" dataOnly="0" labelOnly="1" outline="0" axis="axisCol" fieldPosition="0"/>
    </format>
    <format dxfId="42">
      <pivotArea type="topRight" dataOnly="0" labelOnly="1" outline="0" fieldPosition="0"/>
    </format>
    <format dxfId="41">
      <pivotArea field="3" type="button" dataOnly="0" labelOnly="1" outline="0" axis="axisRow" fieldPosition="1"/>
    </format>
    <format dxfId="40">
      <pivotArea dataOnly="0" labelOnly="1" grandRow="1" outline="0" fieldPosition="0"/>
    </format>
    <format dxfId="39">
      <pivotArea dataOnly="0" labelOnly="1" outline="0" fieldPosition="0">
        <references count="1">
          <reference field="1" count="0"/>
        </references>
      </pivotArea>
    </format>
    <format dxfId="38">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53">
  <a r="1">
    <v t="r">55</v>
  </a>
  <a r="1">
    <v t="r">64</v>
  </a>
  <a r="1">
    <v t="s">Philippine Time Zone</v>
  </a>
  <a r="1">
    <v t="r">83</v>
  </a>
  <a r="2">
    <v t="s">Philippine Time Zone</v>
    <v t="s">Singapore Standard Time</v>
  </a>
  <a r="1">
    <v t="r">93</v>
  </a>
  <a r="1">
    <v t="s">Philippine Standard Time</v>
  </a>
  <a r="1">
    <v t="r">103</v>
  </a>
  <a r="1">
    <v t="r">113</v>
  </a>
  <a r="1">
    <v t="r">122</v>
  </a>
  <a r="1">
    <v t="r">131</v>
  </a>
  <a r="1">
    <v t="s">UTC+08:00</v>
  </a>
  <a r="1">
    <v t="r">141</v>
  </a>
  <a r="1">
    <v t="r">151</v>
  </a>
  <a r="1">
    <v t="r">161</v>
  </a>
  <a r="1">
    <v t="r">171</v>
  </a>
  <a r="1">
    <v t="r">180</v>
  </a>
  <a r="1">
    <v t="r">189</v>
  </a>
  <a r="1">
    <v t="r">199</v>
  </a>
  <a r="1">
    <v t="r">209</v>
  </a>
  <a r="1">
    <v t="r">219</v>
  </a>
  <a r="1">
    <v t="r">229</v>
  </a>
  <a r="1">
    <v t="r">238</v>
  </a>
  <a r="1">
    <v t="r">248</v>
  </a>
  <a r="1">
    <v t="r">258</v>
  </a>
  <a r="1">
    <v t="r">267</v>
  </a>
  <a r="1">
    <v t="r">276</v>
  </a>
  <a r="1">
    <v t="r">286</v>
  </a>
  <a r="1">
    <v t="r">296</v>
  </a>
  <a r="1">
    <v t="r">306</v>
  </a>
  <a r="1">
    <v t="r">315</v>
  </a>
  <a r="1">
    <v t="r">324</v>
  </a>
  <a r="1">
    <v t="r">334</v>
  </a>
  <a r="1">
    <v t="r">343</v>
  </a>
  <a r="1">
    <v t="r">352</v>
  </a>
  <a r="1">
    <v t="r">361</v>
  </a>
  <a r="1">
    <v t="r">370</v>
  </a>
  <a r="1">
    <v t="r">379</v>
  </a>
  <a r="1">
    <v t="r">388</v>
  </a>
  <a r="1">
    <v t="r">398</v>
  </a>
  <a r="1">
    <v t="r">408</v>
  </a>
  <a r="1">
    <v t="s">Singapore Standard Time</v>
  </a>
  <a r="1">
    <v t="r">425</v>
  </a>
  <a r="1">
    <v t="r">433</v>
  </a>
  <a r="1">
    <v t="r">443</v>
  </a>
  <a r="1">
    <v t="r">452</v>
  </a>
  <a r="1">
    <v t="r">461</v>
  </a>
  <a r="1">
    <v t="r">471</v>
  </a>
  <a r="1">
    <v t="r">481</v>
  </a>
  <a r="1">
    <v t="r">490</v>
  </a>
  <a r="1">
    <v t="r">499</v>
  </a>
  <a r="1">
    <v t="r">508</v>
  </a>
  <a r="1">
    <v t="r">516</v>
  </a>
</arrayData>
</file>

<file path=xl/richData/rdrichvalue.xml><?xml version="1.0" encoding="utf-8"?>
<rvData xmlns="http://schemas.microsoft.com/office/spreadsheetml/2017/richdata" count="521">
  <rv s="0">
    <v>536870912</v>
    <v>Alabang</v>
    <v>41738cca-83f7-f07d-2029-e4f11b08baad</v>
    <v>en-US</v>
    <v>Map</v>
  </rv>
  <rv s="0">
    <v>536870912</v>
    <v>Angeles City</v>
    <v>a07352dc-186d-f087-4091-469c33edd541</v>
    <v>en-US</v>
    <v>Map</v>
  </rv>
  <rv s="0">
    <v>536870912</v>
    <v>Bacolod</v>
    <v>7db13185-8204-2a07-9286-8b417d8031a6</v>
    <v>en-US</v>
    <v>Map</v>
  </rv>
  <rv s="0">
    <v>536870912</v>
    <v>Baguio</v>
    <v>f9f674d6-b06b-c371-bd0b-586828e4349d</v>
    <v>en-US</v>
    <v>Map</v>
  </rv>
  <rv s="0">
    <v>536870912</v>
    <v>Baliwag</v>
    <v>9d5b6fa4-683e-c7d2-acc1-7d69a45699ae</v>
    <v>en-US</v>
    <v>Map</v>
  </rv>
  <rv s="0">
    <v>536870912</v>
    <v>Batangas</v>
    <v>f77aee21-102e-f6f4-cd8b-795951928807</v>
    <v>en-US</v>
    <v>Map</v>
  </rv>
  <rv s="0">
    <v>536870912</v>
    <v>Butuan</v>
    <v>726d6be5-e7a6-0a04-1ec8-a624e408963f</v>
    <v>en-US</v>
    <v>Map</v>
  </rv>
  <rv s="0">
    <v>536870912</v>
    <v>Cabanatuan</v>
    <v>f03fe462-07cb-ddb0-6c0d-3fdb9baa2a7a</v>
    <v>en-US</v>
    <v>Map</v>
  </rv>
  <rv s="0">
    <v>536870912</v>
    <v>Cagayan de Oro</v>
    <v>00aa4c25-52a2-1742-010d-8c096939961c</v>
    <v>en-US</v>
    <v>Map</v>
  </rv>
  <rv s="0">
    <v>536870912</v>
    <v>Calasiao</v>
    <v>fdcadbb1-0df7-8ada-791a-00981419721d</v>
    <v>en-US</v>
    <v>Map</v>
  </rv>
  <rv s="0">
    <v>536870912</v>
    <v>Carmona, Cavite</v>
    <v>e5e568a9-550e-a1d6-ba1e-47115aea4121</v>
    <v>en-US</v>
    <v>Map</v>
  </rv>
  <rv s="0">
    <v>536870912</v>
    <v>Cordon, Isabela</v>
    <v>17bc864e-856f-e650-78f8-2ade7eefed7f</v>
    <v>en-US</v>
    <v>Map</v>
  </rv>
  <rv s="0">
    <v>536870912</v>
    <v>Dumaguete</v>
    <v>67f6623a-d1a0-50e3-7d16-522d18f3fd9f</v>
    <v>en-US</v>
    <v>Map</v>
  </rv>
  <rv s="0">
    <v>536870912</v>
    <v>General Santos</v>
    <v>59979766-000f-5fc7-71a2-6587f7de8b6a</v>
    <v>en-US</v>
    <v>Map</v>
  </rv>
  <rv s="0">
    <v>536870912</v>
    <v>Iligan</v>
    <v>fa4382ef-168f-5e7a-2464-29abc07f8c75</v>
    <v>en-US</v>
    <v>Map</v>
  </rv>
  <rv s="0">
    <v>536870912</v>
    <v>Iloilo</v>
    <v>068df4d2-959f-8164-d1fd-994cf0150d12</v>
    <v>en-US</v>
    <v>Map</v>
  </rv>
  <rv s="0">
    <v>536870912</v>
    <v>Imus</v>
    <v>7b227cdf-70b1-e5a6-9b33-aae7890f5cec</v>
    <v>en-US</v>
    <v>Map</v>
  </rv>
  <rv s="0">
    <v>536870912</v>
    <v>Isabela</v>
    <v>67ccbd18-7330-76f8-6466-fb01e3f27483</v>
    <v>en-US</v>
    <v>Map</v>
  </rv>
  <rv s="0">
    <v>536870912</v>
    <v>Jose Abad Santos, Davao Occidental</v>
    <v>aba2ee3a-7675-cada-7f0f-6a982ce8ab8e</v>
    <v>en-US</v>
    <v>Map</v>
  </rv>
  <rv s="0">
    <v>536870912</v>
    <v>Kidapawan</v>
    <v>9ea64939-0737-7a77-d5f7-99ceb23608b1</v>
    <v>en-US</v>
    <v>Map</v>
  </rv>
  <rv s="0">
    <v>536870912</v>
    <v>La Union</v>
    <v>28905729-f4e1-e195-8ee5-e9f0185f79bb</v>
    <v>en-US</v>
    <v>Map</v>
  </rv>
  <rv s="0">
    <v>536870912</v>
    <v>Laoag</v>
    <v>dcaae288-8f09-8fdb-f134-7f1270b315c2</v>
    <v>en-US</v>
    <v>Map</v>
  </rv>
  <rv s="0">
    <v>536870912</v>
    <v>Las Piñas</v>
    <v>0e2306ad-3575-a060-2af4-b159c6590421</v>
    <v>en-US</v>
    <v>Map</v>
  </rv>
  <rv s="0">
    <v>536870912</v>
    <v>Lipa, Batangas</v>
    <v>a9a725f1-451c-3b36-826e-159417cc0fe1</v>
    <v>en-US</v>
    <v>Map</v>
  </rv>
  <rv s="0">
    <v>536870912</v>
    <v>Makati</v>
    <v>4b3b3d66-4455-cc14-dc78-f62e50a77a7a</v>
    <v>en-US</v>
    <v>Map</v>
  </rv>
  <rv s="0">
    <v>536870912</v>
    <v>Malolos</v>
    <v>ae03f328-ea88-1f6f-9f32-b18611d14b3f</v>
    <v>en-US</v>
    <v>Map</v>
  </rv>
  <rv s="0">
    <v>536870912</v>
    <v>Mandaue</v>
    <v>6099eaaf-c792-74c0-0331-91d036bb04b8</v>
    <v>en-US</v>
    <v>Map</v>
  </rv>
  <rv s="0">
    <v>536870912</v>
    <v>Mandurriao</v>
    <v>5dcfacbc-34df-8717-81bc-dbede15c2712</v>
    <v>en-US</v>
    <v>Map</v>
  </rv>
  <rv s="0">
    <v>536870912</v>
    <v>Marilao</v>
    <v>4524437f-b07e-a992-ca65-f4448552a3a0</v>
    <v>en-US</v>
    <v>Map</v>
  </rv>
  <rv s="0">
    <v>536870912</v>
    <v>Orani</v>
    <v>c882b36d-2fad-32b4-8e87-3f25df983497</v>
    <v>en-US</v>
    <v>Map</v>
  </rv>
  <rv s="0">
    <v>536870912</v>
    <v>Ormoc</v>
    <v>decab6b8-4e1d-6b9c-3d5b-007a36c5118e</v>
    <v>en-US</v>
    <v>Map</v>
  </rv>
  <rv s="0">
    <v>536870912</v>
    <v>Ozamiz</v>
    <v>acc92dcf-c410-9055-0ae0-3a0dc419f45b</v>
    <v>en-US</v>
    <v>Map</v>
  </rv>
  <rv s="0">
    <v>536870912</v>
    <v>Paco, Manila</v>
    <v>fc3bd115-1a63-ec34-1ab1-da843cf3ee5e</v>
    <v>en-US</v>
    <v>Map</v>
  </rv>
  <rv s="0">
    <v>536870912</v>
    <v>Palawan</v>
    <v>30a179ba-83c7-ea59-aa9e-504c60d0306a</v>
    <v>en-US</v>
    <v>Map</v>
  </rv>
  <rv s="0">
    <v>536870912</v>
    <v>Pili, Camarines Sur</v>
    <v>12eeabcb-6f28-9c06-918c-894871559db4</v>
    <v>en-US</v>
    <v>Map</v>
  </rv>
  <rv s="0">
    <v>536870912</v>
    <v>Quezon City</v>
    <v>5e001b49-2fd0-4f45-a43f-6c8cdf9ee04c</v>
    <v>en-US</v>
    <v>Map</v>
  </rv>
  <rv s="0">
    <v>536870912</v>
    <v>Roxas, Palawan</v>
    <v>2241d70c-eff8-42d0-ca58-f96d27b985e4</v>
    <v>en-US</v>
    <v>Map</v>
  </rv>
  <rv s="0">
    <v>536870912</v>
    <v>San Pablo, Laguna</v>
    <v>1a82a101-c052-2a22-33f7-663e0806a739</v>
    <v>en-US</v>
    <v>Map</v>
  </rv>
  <rv s="0">
    <v>536870912</v>
    <v>Santa Rosa, Laguna</v>
    <v>543053c8-1ee3-d71b-fdb1-577456b18ccb</v>
    <v>en-US</v>
    <v>Map</v>
  </rv>
  <rv s="0">
    <v>536870912</v>
    <v>Subic, Zambales</v>
    <v>fb283a0a-93e2-6603-93ad-567e0e3ca290</v>
    <v>en-US</v>
    <v>Map</v>
  </rv>
  <rv s="0">
    <v>536870912</v>
    <v>Tacloban</v>
    <v>9636cbbd-cf84-bd92-4e08-d6a7d13cbed6</v>
    <v>en-US</v>
    <v>Map</v>
  </rv>
  <rv s="0">
    <v>536870912</v>
    <v>Tagbilaran</v>
    <v>4c62f625-d33a-9ed0-f292-1ca51b5ed1d4</v>
    <v>en-US</v>
    <v>Map</v>
  </rv>
  <rv s="0">
    <v>536870912</v>
    <v>Tagum</v>
    <v>05ed9b6f-1378-da68-94fd-8d26acff4f8a</v>
    <v>en-US</v>
    <v>Map</v>
  </rv>
  <rv s="0">
    <v>536870912</v>
    <v>Talisay, Negros Occidental</v>
    <v>00df6e89-3a5d-87d8-7e78-80973916be06</v>
    <v>en-US</v>
    <v>Map</v>
  </rv>
  <rv s="0">
    <v>536870912</v>
    <v>Tarlac</v>
    <v>7d56b130-da68-5615-69f0-dbad4c246cf7</v>
    <v>en-US</v>
    <v>Map</v>
  </rv>
  <rv s="0">
    <v>536870912</v>
    <v>Taytay, Rizal</v>
    <v>7b14d8f7-7399-633e-c534-362a44868dcd</v>
    <v>en-US</v>
    <v>Map</v>
  </rv>
  <rv s="0">
    <v>536870912</v>
    <v>Tuguegarao</v>
    <v>aed2de48-d47e-6468-6a4a-0197e6cc1b72</v>
    <v>en-US</v>
    <v>Map</v>
  </rv>
  <rv s="0">
    <v>536870912</v>
    <v>Urdaneta, Pangasinan</v>
    <v>6e625be4-3b65-93fb-40e3-6346d4781971</v>
    <v>en-US</v>
    <v>Map</v>
  </rv>
  <rv s="0">
    <v>536870912</v>
    <v>Valenzuela, Metro Manila</v>
    <v>4165515f-4aa6-4852-e2e8-6516cbd68027</v>
    <v>en-US</v>
    <v>Map</v>
  </rv>
  <rv s="0">
    <v>536870912</v>
    <v>Zamboanga City</v>
    <v>37eb6d05-e9d4-c0b2-6af6-1842d60405bb</v>
    <v>en-US</v>
    <v>Map</v>
  </rv>
  <rv s="0">
    <v>536870912</v>
    <v>Laguna</v>
    <v>39988f56-c0ce-62ef-a19a-76f4048b73a9</v>
    <v>en-US</v>
    <v>Map</v>
  </rv>
  <rv s="1">
    <fb>54.84</fb>
    <v>8</v>
  </rv>
  <rv s="0">
    <v>536870912</v>
    <v>Philippines</v>
    <v>fe47e182-43d6-4546-8bee-86609d6dd805</v>
    <v>en-US</v>
    <v>Map</v>
  </rv>
  <rv s="2">
    <v>38</v>
    <v>6</v>
    <v>0</v>
    <v>7</v>
    <v>0</v>
    <v>Image of Santa Rosa, Laguna</v>
  </rv>
  <rv s="1">
    <fb>14.316666666667</fb>
    <v>9</v>
  </rv>
  <rv s="0">
    <v>805306368</v>
    <v>Arlene B. Arcillas (Mayor)</v>
    <v>8535d531-5ff9-1d30-0c4d-5d07fd26f416</v>
    <v>en-US</v>
    <v>Generic</v>
  </rv>
  <rv s="3">
    <v>0</v>
  </rv>
  <rv s="4">
    <v>https://www.bing.com/search?q=santa+rosa+philippines&amp;form=skydnc</v>
    <v>Learn more on Bing</v>
  </rv>
  <rv s="1">
    <fb>121.11666666667</fb>
    <v>9</v>
  </rv>
  <rv s="1">
    <fb>414812</fb>
    <v>8</v>
  </rv>
  <rv s="5">
    <v>#VALUE!</v>
    <v>en-US</v>
    <v>543053c8-1ee3-d71b-fdb1-577456b18ccb</v>
    <v>536870912</v>
    <v>1</v>
    <v>1</v>
    <v>2</v>
    <v>Santa Rosa, Laguna</v>
    <v>4</v>
    <v>5</v>
    <v>Map</v>
    <v>6</v>
    <v>7</v>
    <v>50</v>
    <v>51</v>
    <v>52</v>
    <v>Santa Rosa, officially the City of Santa Rosa, is a 1st class component city in the province of Laguna, Philippines. According to the 2020 census, its population was 414,812 people. It is the second largest local government unit in Laguna after ...</v>
    <v>53</v>
    <v>54</v>
    <v>56</v>
    <v>57</v>
    <v>58</v>
    <v>Santa Rosa, Laguna</v>
    <v>59</v>
    <v>Santa Rosa, Laguna</v>
    <v>mdp/vdpid/7897996187796504579</v>
  </rv>
  <rv s="1">
    <fb>5000.83</fb>
    <v>8</v>
  </rv>
  <rv s="0">
    <v>536870912</v>
    <v>Iloilo City</v>
    <v>9afbba2d-5fc1-70bc-b0ac-71999229dace</v>
    <v>en-US</v>
    <v>Map</v>
  </rv>
  <rv s="2">
    <v>17</v>
    <v>6</v>
    <v>10</v>
    <v>7</v>
    <v>0</v>
    <v>Image of Iloilo</v>
  </rv>
  <rv s="0">
    <v>805306368</v>
    <v>Arthur Defensor Jr. (Governor)</v>
    <v>1ebf296a-3a5c-59da-3e3d-d4c315714e3c</v>
    <v>en-US</v>
    <v>Generic</v>
  </rv>
  <rv s="3">
    <v>1</v>
  </rv>
  <rv s="4">
    <v>https://www.bing.com/search?q=iloilo+philippines&amp;form=skydnc</v>
    <v>Learn more on Bing</v>
  </rv>
  <rv s="1">
    <fb>2051899</fb>
    <v>8</v>
  </rv>
  <rv s="6">
    <v>#VALUE!</v>
    <v>en-US</v>
    <v>068df4d2-959f-8164-d1fd-994cf0150d12</v>
    <v>536870912</v>
    <v>1</v>
    <v>12</v>
    <v>13</v>
    <v>Iloilo</v>
    <v>4</v>
    <v>5</v>
    <v>Map</v>
    <v>6</v>
    <v>7</v>
    <v>PH-ILI</v>
    <v>61</v>
    <v>62</v>
    <v>52</v>
    <v>Iloilo, officially the Province of Iloilo, is a province in the Philippines located in the Western Visayas region. Its capital and largest city is Iloilo City, the regional center of Western Visayas. Iloilo occupies the southeast portion of the ...</v>
    <v>63</v>
    <v>62</v>
    <v>65</v>
    <v>66</v>
    <v>Iloilo</v>
    <v>67</v>
    <v>Iloilo</v>
    <v>mdp/vdpid/-7996910282</v>
  </rv>
  <rv s="0">
    <v>536870912</v>
    <v>Metro Manila</v>
    <v>e5a6d40a-2913-d8a4-ff60-8a8e01d06a21</v>
    <v>en-US</v>
    <v>Map</v>
  </rv>
  <rv s="0">
    <v>536870912</v>
    <v>Muntinlupa</v>
    <v>f2359f71-324a-401c-1c0e-005c15051ea8</v>
    <v>en-US</v>
    <v>Map</v>
  </rv>
  <rv s="1">
    <fb>8.0640000000000001</fb>
    <v>8</v>
  </rv>
  <rv s="2">
    <v>0</v>
    <v>6</v>
    <v>15</v>
    <v>7</v>
    <v>0</v>
    <v>Image of Alabang</v>
  </rv>
  <rv s="1">
    <fb>14.419</fb>
    <v>9</v>
  </rv>
  <rv s="4">
    <v>https://www.bing.com/search?q=ayala+alabang&amp;form=skydnc</v>
    <v>Learn more on Bing</v>
  </rv>
  <rv s="1">
    <fb>121.044</fb>
    <v>9</v>
  </rv>
  <rv s="1">
    <fb>71075</fb>
    <v>8</v>
  </rv>
  <rv s="3">
    <v>2</v>
  </rv>
  <rv s="7">
    <v>#VALUE!</v>
    <v>en-US</v>
    <v>41738cca-83f7-f07d-2029-e4f11b08baad</v>
    <v>536870912</v>
    <v>1</v>
    <v>16</v>
    <v>17</v>
    <v>Alabang</v>
    <v>4</v>
    <v>5</v>
    <v>Map</v>
    <v>6</v>
    <v>7</v>
    <v>69</v>
    <v>70</v>
    <v>71</v>
    <v>52</v>
    <v>Alabang is a barangay in Muntinlupa, Philippines. At one time, the area was a farming district and has since grown from a village to a major commercial center, including Filinvest City, Madrigal Business Park, and a transportation hub. It has an ...</v>
    <v>72</v>
    <v>73</v>
    <v>74</v>
    <v>75</v>
    <v>Alabang</v>
    <v>76</v>
    <v>77</v>
    <v>Alabang</v>
    <v>mdp/vdpid/7897983149315981313</v>
  </rv>
  <rv s="0">
    <v>536870912</v>
    <v>Cagayan</v>
    <v>c27369d2-9ab0-e651-32e7-8f24d9a33023</v>
    <v>en-US</v>
    <v>Map</v>
  </rv>
  <rv s="1">
    <fb>144.80000000000001</fb>
    <v>8</v>
  </rv>
  <rv s="2">
    <v>46</v>
    <v>6</v>
    <v>18</v>
    <v>7</v>
    <v>0</v>
    <v>Image of Tuguegarao</v>
  </rv>
  <rv s="1">
    <fb>17.613333333333301</fb>
    <v>9</v>
  </rv>
  <rv s="0">
    <v>805306368</v>
    <v>Maila Rosario S. Ting-Que (Mayor)</v>
    <v>aa133a00-e267-3741-12f7-2744e703fe74</v>
    <v>en-US</v>
    <v>Generic</v>
  </rv>
  <rv s="3">
    <v>3</v>
  </rv>
  <rv s="4">
    <v>https://www.bing.com/search?q=tuguegarao&amp;form=skydnc</v>
    <v>Learn more on Bing</v>
  </rv>
  <rv s="1">
    <fb>121.730277777778</fb>
    <v>9</v>
  </rv>
  <rv s="1">
    <fb>166334</fb>
    <v>8</v>
  </rv>
  <rv s="3">
    <v>4</v>
  </rv>
  <rv s="8">
    <v>#VALUE!</v>
    <v>en-US</v>
    <v>aed2de48-d47e-6468-6a4a-0197e6cc1b72</v>
    <v>536870912</v>
    <v>1</v>
    <v>19</v>
    <v>20</v>
    <v>Tuguegarao</v>
    <v>4</v>
    <v>5</v>
    <v>Map</v>
    <v>6</v>
    <v>7</v>
    <v>79</v>
    <v>80</v>
    <v>52</v>
    <v>Tuguegarao, officially the City of Tuguegarao, is a 1st class component city and capital of the province of Cagayan, Philippines. According to the 2020 census, it has a population of 166,334 people, making it the most populous city in Cagayan ...</v>
    <v>81</v>
    <v>82</v>
    <v>84</v>
    <v>85</v>
    <v>86</v>
    <v>Tuguegarao</v>
    <v>87</v>
    <v>88</v>
    <v>Tuguegarao</v>
    <v>mdp/vdpid/7894636647281590273</v>
  </rv>
  <rv s="1">
    <fb>3119.75</fb>
    <v>8</v>
  </rv>
  <rv s="0">
    <v>536870912</v>
    <v>Batangas City</v>
    <v>091badd2-9b03-a333-3e3a-a1cacea9be48</v>
    <v>en-US</v>
    <v>Map</v>
  </rv>
  <rv s="2">
    <v>5</v>
    <v>6</v>
    <v>21</v>
    <v>7</v>
    <v>0</v>
    <v>Image of Batangas</v>
  </rv>
  <rv s="0">
    <v>805306368</v>
    <v>Hermilando Mandanas (Governor)</v>
    <v>c2f33053-263b-807f-b4b4-d545694c7de9</v>
    <v>en-US</v>
    <v>Generic</v>
  </rv>
  <rv s="3">
    <v>5</v>
  </rv>
  <rv s="4">
    <v>https://www.bing.com/search?q=batangas&amp;form=skydnc</v>
    <v>Learn more on Bing</v>
  </rv>
  <rv s="1">
    <fb>2908494</fb>
    <v>8</v>
  </rv>
  <rv s="3">
    <v>6</v>
  </rv>
  <rv s="9">
    <v>#VALUE!</v>
    <v>en-US</v>
    <v>f77aee21-102e-f6f4-cd8b-795951928807</v>
    <v>536870912</v>
    <v>1</v>
    <v>23</v>
    <v>24</v>
    <v>Batangas</v>
    <v>4</v>
    <v>5</v>
    <v>Map</v>
    <v>6</v>
    <v>7</v>
    <v>PH-BTG</v>
    <v>90</v>
    <v>91</v>
    <v>52</v>
    <v>Batangas, officially the Province of Batangas, is a first class province of the Philippines located in the southwestern part of Luzon in the Calabarzon region. Its capital is the city of Batangas, and is bordered by the provinces of Cavite and ...</v>
    <v>92</v>
    <v>23</v>
    <v>94</v>
    <v>95</v>
    <v>Batangas</v>
    <v>96</v>
    <v>97</v>
    <v>Batangas</v>
    <v>mdp/vdpid/-7996910240</v>
  </rv>
  <rv s="0">
    <v>536870912</v>
    <v>Negros Occidental</v>
    <v>9124c64a-51fe-8970-69e4-28507542e45f</v>
    <v>en-US</v>
    <v>Map</v>
  </rv>
  <rv s="1">
    <fb>162.66999999999999</fb>
    <v>8</v>
  </rv>
  <rv s="2">
    <v>2</v>
    <v>6</v>
    <v>25</v>
    <v>7</v>
    <v>0</v>
    <v>Image of Bacolod</v>
  </rv>
  <rv s="1">
    <fb>10.676458333333301</fb>
    <v>9</v>
  </rv>
  <rv s="0">
    <v>805306368</v>
    <v>Albee Benitez (Mayor)</v>
    <v>5cb76042-7245-a6df-73e6-9dd7785bba07</v>
    <v>en-US</v>
    <v>Generic</v>
  </rv>
  <rv s="3">
    <v>7</v>
  </rv>
  <rv s="4">
    <v>https://www.bing.com/search?q=bacolod&amp;form=skydnc</v>
    <v>Learn more on Bing</v>
  </rv>
  <rv s="1">
    <fb>122.950916666667</fb>
    <v>9</v>
  </rv>
  <rv s="1">
    <fb>600783</fb>
    <v>8</v>
  </rv>
  <rv s="8">
    <v>#VALUE!</v>
    <v>en-US</v>
    <v>7db13185-8204-2a07-9286-8b417d8031a6</v>
    <v>536870912</v>
    <v>1</v>
    <v>26</v>
    <v>20</v>
    <v>Bacolod</v>
    <v>4</v>
    <v>5</v>
    <v>Map</v>
    <v>6</v>
    <v>7</v>
    <v>99</v>
    <v>100</v>
    <v>52</v>
    <v>Bacolod, officially the City of Bacolod, is a 1st class highly urbanized city in the Negros Island Region in the Philippines. With a total of 600,783 inhabitants as of the 2020 census, it is the most populous city in the Negros Island Region and ...</v>
    <v>101</v>
    <v>102</v>
    <v>104</v>
    <v>105</v>
    <v>106</v>
    <v>Bacolod</v>
    <v>107</v>
    <v>97</v>
    <v>Bacolod</v>
    <v>mdp/vdpid/7911309895595458561</v>
  </rv>
  <rv s="0">
    <v>536870912</v>
    <v>Pampanga</v>
    <v>a8f8bc92-c955-7450-e34a-846fb8708548</v>
    <v>en-US</v>
    <v>Map</v>
  </rv>
  <rv s="1">
    <fb>60.27</fb>
    <v>8</v>
  </rv>
  <rv s="2">
    <v>1</v>
    <v>6</v>
    <v>27</v>
    <v>7</v>
    <v>0</v>
    <v>Image of Angeles City</v>
  </rv>
  <rv s="1">
    <fb>15.1471805555556</fb>
    <v>9</v>
  </rv>
  <rv s="0">
    <v>805306368</v>
    <v>Carmelo Lazatin Jr. (Mayor)</v>
    <v>3e26561e-f28d-5f4a-d769-8f291465b094</v>
    <v>en-US</v>
    <v>Generic</v>
  </rv>
  <rv s="3">
    <v>8</v>
  </rv>
  <rv s="4">
    <v>https://www.bing.com/search?q=angeles+philippines&amp;form=skydnc</v>
    <v>Learn more on Bing</v>
  </rv>
  <rv s="1">
    <fb>120.58473333333301</fb>
    <v>9</v>
  </rv>
  <rv s="1">
    <fb>462928</fb>
    <v>8</v>
  </rv>
  <rv s="8">
    <v>#VALUE!</v>
    <v>en-US</v>
    <v>a07352dc-186d-f087-4091-469c33edd541</v>
    <v>536870912</v>
    <v>1</v>
    <v>28</v>
    <v>20</v>
    <v>Angeles City</v>
    <v>4</v>
    <v>5</v>
    <v>Map</v>
    <v>6</v>
    <v>7</v>
    <v>109</v>
    <v>110</v>
    <v>52</v>
    <v>Angeles, officially the City of Angeles, is a highly urbanized city in the Central Luzon region of the Philippines. According to the 2020 census, it has a population of 462,928 people. While Angeles City is politically independent from the ...</v>
    <v>111</v>
    <v>112</v>
    <v>114</v>
    <v>115</v>
    <v>116</v>
    <v>Angeles City</v>
    <v>117</v>
    <v>97</v>
    <v>Angeles City</v>
    <v>mdp/vdpid/7897533766384484353</v>
  </rv>
  <rv s="1">
    <fb>197.56</fb>
    <v>8</v>
  </rv>
  <rv s="2">
    <v>37</v>
    <v>6</v>
    <v>29</v>
    <v>7</v>
    <v>0</v>
    <v>Image of San Pablo, Laguna</v>
  </rv>
  <rv s="1">
    <fb>14.07</fb>
    <v>9</v>
  </rv>
  <rv s="0">
    <v>805306368</v>
    <v>Vicente Amante (Mayor)</v>
    <v>df034aec-af03-c80a-a0e5-b0daa6a6208b</v>
    <v>en-US</v>
    <v>Generic</v>
  </rv>
  <rv s="3">
    <v>9</v>
  </rv>
  <rv s="4">
    <v>https://www.bing.com/search?q=san+pablo%2c+laguna+philippines&amp;form=skydnc</v>
    <v>Learn more on Bing</v>
  </rv>
  <rv s="1">
    <fb>121.325</fb>
    <v>9</v>
  </rv>
  <rv s="1">
    <fb>285348</fb>
    <v>8</v>
  </rv>
  <rv s="8">
    <v>#VALUE!</v>
    <v>en-US</v>
    <v>1a82a101-c052-2a22-33f7-663e0806a739</v>
    <v>536870912</v>
    <v>1</v>
    <v>30</v>
    <v>20</v>
    <v>San Pablo, Laguna</v>
    <v>4</v>
    <v>5</v>
    <v>Map</v>
    <v>6</v>
    <v>7</v>
    <v>50</v>
    <v>119</v>
    <v>52</v>
    <v>San Pablo, officially the City of San Pablo, is a component city in the province of Laguna, Philippines. According to the 2020 census, it has a population of 285,348 people. The city is also known as the "City of Seven Lakes", referring to the ...</v>
    <v>120</v>
    <v>121</v>
    <v>123</v>
    <v>124</v>
    <v>125</v>
    <v>San Pablo, Laguna</v>
    <v>126</v>
    <v>88</v>
    <v>San Pablo, Laguna</v>
    <v>mdp/vdpid/7898760304287285249</v>
  </rv>
  <rv s="1">
    <fb>12414.93</fb>
    <v>8</v>
  </rv>
  <rv s="0">
    <v>536870912</v>
    <v>Ilagan</v>
    <v>7379d02f-5606-3181-2268-43888bc337df</v>
    <v>en-US</v>
    <v>Map</v>
  </rv>
  <rv s="2">
    <v>13</v>
    <v>6</v>
    <v>31</v>
    <v>7</v>
    <v>0</v>
    <v>Image of Isabela</v>
  </rv>
  <rv s="0">
    <v>805306368</v>
    <v>Rodolfo Albano III (Governor)</v>
    <v>bbdb55e8-cc2b-5f6b-103f-052ab79c15ed</v>
    <v>en-US</v>
    <v>Generic</v>
  </rv>
  <rv s="3">
    <v>10</v>
  </rv>
  <rv s="4">
    <v>https://www.bing.com/search?q=isabela+province&amp;form=skydnc</v>
    <v>Learn more on Bing</v>
  </rv>
  <rv s="1">
    <fb>1697050</fb>
    <v>8</v>
  </rv>
  <rv s="3">
    <v>11</v>
  </rv>
  <rv s="9">
    <v>#VALUE!</v>
    <v>en-US</v>
    <v>67ccbd18-7330-76f8-6466-fb01e3f27483</v>
    <v>536870912</v>
    <v>1</v>
    <v>33</v>
    <v>24</v>
    <v>Isabela</v>
    <v>4</v>
    <v>5</v>
    <v>Map</v>
    <v>6</v>
    <v>7</v>
    <v>PH-ISA</v>
    <v>128</v>
    <v>129</v>
    <v>52</v>
    <v>Isabela, officially the Province of Isabela, is the second largest province in the Philippines by land area located in the Cagayan Valley. Its capital and the largest local government unit is the city of Ilagan. It is bordered by the provinces ...</v>
    <v>130</v>
    <v>129</v>
    <v>132</v>
    <v>133</v>
    <v>Isabela</v>
    <v>134</v>
    <v>135</v>
    <v>Isabela</v>
    <v>mdp/vdpid/-7996910283</v>
  </rv>
  <rv s="0">
    <v>536870912</v>
    <v>Agusan del Norte</v>
    <v>1d396096-557b-6793-a2b7-a4c20b51f0d0</v>
    <v>en-US</v>
    <v>Map</v>
  </rv>
  <rv s="1">
    <fb>816.62</fb>
    <v>8</v>
  </rv>
  <rv s="2">
    <v>7</v>
    <v>6</v>
    <v>34</v>
    <v>7</v>
    <v>0</v>
    <v>Image of Butuan</v>
  </rv>
  <rv s="1">
    <fb>8.9534000000000002</fb>
    <v>9</v>
  </rv>
  <rv s="0">
    <v>805306368</v>
    <v>Ronnie Vicente Lagnada (Mayor)</v>
    <v>d74638dd-c75a-0081-697b-42844eaad155</v>
    <v>en-US</v>
    <v>Generic</v>
  </rv>
  <rv s="3">
    <v>12</v>
  </rv>
  <rv s="4">
    <v>https://www.bing.com/search?q=butuan&amp;form=skydnc</v>
    <v>Learn more on Bing</v>
  </rv>
  <rv s="1">
    <fb>125.5288</fb>
    <v>9</v>
  </rv>
  <rv s="1">
    <fb>372910</fb>
    <v>8</v>
  </rv>
  <rv s="5">
    <v>#VALUE!</v>
    <v>en-US</v>
    <v>726d6be5-e7a6-0a04-1ec8-a624e408963f</v>
    <v>536870912</v>
    <v>1</v>
    <v>35</v>
    <v>2</v>
    <v>Butuan</v>
    <v>4</v>
    <v>5</v>
    <v>Map</v>
    <v>6</v>
    <v>7</v>
    <v>137</v>
    <v>138</v>
    <v>52</v>
    <v>Butuan, officially the City of Butuan, is a 1st class highly urbanized city and the regional center of Caraga, Philippines. It is the de facto capital of the province of Agusan del Norte where it is geographically situated but has an ...</v>
    <v>139</v>
    <v>140</v>
    <v>142</v>
    <v>143</v>
    <v>144</v>
    <v>Butuan</v>
    <v>145</v>
    <v>Butuan</v>
    <v>mdp/vdpid/7917832949939044353</v>
  </rv>
  <rv s="0">
    <v>536870912</v>
    <v>Benguet</v>
    <v>7e8657a4-5792-db47-90c7-2604b9aca19f</v>
    <v>en-US</v>
    <v>Map</v>
  </rv>
  <rv s="1">
    <fb>57.51</fb>
    <v>8</v>
  </rv>
  <rv s="2">
    <v>3</v>
    <v>6</v>
    <v>36</v>
    <v>7</v>
    <v>0</v>
    <v>Image of Baguio</v>
  </rv>
  <rv s="1">
    <fb>16.411944444444401</fb>
    <v>9</v>
  </rv>
  <rv s="0">
    <v>805306368</v>
    <v>Benjamin Magalong (Mayor)</v>
    <v>b78ea5a0-c23e-a9e8-ac02-544dbf39c62a</v>
    <v>en-US</v>
    <v>Generic</v>
  </rv>
  <rv s="3">
    <v>13</v>
  </rv>
  <rv s="4">
    <v>https://www.bing.com/search?q=baguio&amp;form=skydnc</v>
    <v>Learn more on Bing</v>
  </rv>
  <rv s="1">
    <fb>120.59333333333301</fb>
    <v>9</v>
  </rv>
  <rv s="1">
    <fb>366358</fb>
    <v>8</v>
  </rv>
  <rv s="5">
    <v>#VALUE!</v>
    <v>en-US</v>
    <v>f9f674d6-b06b-c371-bd0b-586828e4349d</v>
    <v>536870912</v>
    <v>1</v>
    <v>37</v>
    <v>2</v>
    <v>Baguio</v>
    <v>4</v>
    <v>5</v>
    <v>Map</v>
    <v>6</v>
    <v>7</v>
    <v>147</v>
    <v>148</v>
    <v>52</v>
    <v>Baguio, officially the City of Baguio, is a 1st class highly urbanized city in the Cordillera Administrative Region, Philippines. It is known as the "Summer Capital of the Philippines", owing to its cool climate since the city is located ...</v>
    <v>149</v>
    <v>150</v>
    <v>152</v>
    <v>153</v>
    <v>154</v>
    <v>Baguio</v>
    <v>155</v>
    <v>Baguio</v>
    <v>mdp/vdpid/7897265446741606402</v>
  </rv>
  <rv s="0">
    <v>536870912</v>
    <v>Bulacan</v>
    <v>1976e607-d5fa-a209-60b5-a28c5ff0661d</v>
    <v>en-US</v>
    <v>Map</v>
  </rv>
  <rv s="1">
    <fb>45.05</fb>
    <v>8</v>
  </rv>
  <rv s="2">
    <v>4</v>
    <v>6</v>
    <v>38</v>
    <v>7</v>
    <v>0</v>
    <v>Image of Baliwag</v>
  </rv>
  <rv s="1">
    <fb>14.954000000000001</fb>
    <v>9</v>
  </rv>
  <rv s="0">
    <v>805306368</v>
    <v>Ferdinand Estrella (Mayor)</v>
    <v>03cfa340-2308-2522-29d2-c1cef1473be2</v>
    <v>en-US</v>
    <v>Generic</v>
  </rv>
  <rv s="3">
    <v>14</v>
  </rv>
  <rv s="4">
    <v>https://www.bing.com/search?q=baliuag+bulacan&amp;form=skydnc</v>
    <v>Learn more on Bing</v>
  </rv>
  <rv s="1">
    <fb>120.901</fb>
    <v>9</v>
  </rv>
  <rv s="1">
    <fb>168470</fb>
    <v>8</v>
  </rv>
  <rv s="5">
    <v>#VALUE!</v>
    <v>en-US</v>
    <v>9d5b6fa4-683e-c7d2-acc1-7d69a45699ae</v>
    <v>536870912</v>
    <v>1</v>
    <v>39</v>
    <v>2</v>
    <v>Baliwag</v>
    <v>4</v>
    <v>5</v>
    <v>Map</v>
    <v>6</v>
    <v>7</v>
    <v>157</v>
    <v>158</v>
    <v>52</v>
    <v>Baliwag, officially the City of Baliwag, is a 1st class component city in the province of Bulacan, Philippines. According to the 2020 census, it has a population of 168,470 people. Baliuag was founded in 1732 by Augustinian friars and was ...</v>
    <v>159</v>
    <v>160</v>
    <v>162</v>
    <v>163</v>
    <v>164</v>
    <v>Baliwag</v>
    <v>165</v>
    <v>Baliwag</v>
    <v>mdp/vdpid/7897550094877065217</v>
  </rv>
  <rv s="0">
    <v>536870912</v>
    <v>Davao Occidental</v>
    <v>35aa0854-1795-47a4-abde-baaeb37be569</v>
    <v>en-US</v>
    <v>Map</v>
  </rv>
  <rv s="1">
    <fb>600.05999999999995</fb>
    <v>8</v>
  </rv>
  <rv s="2">
    <v>19</v>
    <v>6</v>
    <v>40</v>
    <v>7</v>
    <v>0</v>
    <v>Image of Jose Abad Santos, Davao Occidental</v>
  </rv>
  <rv s="1">
    <fb>5.9166666666666998</fb>
    <v>9</v>
  </rv>
  <rv s="0">
    <v>805306368</v>
    <v>Jason John A. Joyce (Mayor)</v>
    <v>b8299358-5417-a091-63cb-025e1ba5156e</v>
    <v>en-US</v>
    <v>Generic</v>
  </rv>
  <rv s="3">
    <v>15</v>
  </rv>
  <rv s="4">
    <v>https://www.bing.com/search?q=jose+abad+santos+philippines&amp;form=skydnc</v>
    <v>Learn more on Bing</v>
  </rv>
  <rv s="1">
    <fb>125.65</fb>
    <v>9</v>
  </rv>
  <rv s="1">
    <fb>73381</fb>
    <v>8</v>
  </rv>
  <rv s="8">
    <v>#VALUE!</v>
    <v>en-US</v>
    <v>aba2ee3a-7675-cada-7f0f-6a982ce8ab8e</v>
    <v>536870912</v>
    <v>1</v>
    <v>41</v>
    <v>20</v>
    <v>Jose Abad Santos, Davao Occidental</v>
    <v>4</v>
    <v>5</v>
    <v>Map</v>
    <v>6</v>
    <v>7</v>
    <v>167</v>
    <v>168</v>
    <v>52</v>
    <v>Jose Abad Santos, officially the Municipality of Jose Abad Santos, is a municipality in the province of Davao Occidental, Philippines. According to the 2020 census, it has a population of 73,381 people.</v>
    <v>169</v>
    <v>170</v>
    <v>172</v>
    <v>173</v>
    <v>174</v>
    <v>Jose Abad Santos, Davao Occidental</v>
    <v>175</v>
    <v>88</v>
    <v>Jose Abad Santos, Davao Occidental</v>
    <v>mdp/vdpid/7921974987743821825</v>
  </rv>
  <rv s="1">
    <fb>38.799999999999997</fb>
    <v>8</v>
  </rv>
  <rv s="2">
    <v>45</v>
    <v>6</v>
    <v>42</v>
    <v>7</v>
    <v>0</v>
    <v>Image of Taytay, Rizal</v>
  </rv>
  <rv s="1">
    <fb>14.569167</fb>
    <v>9</v>
  </rv>
  <rv s="0">
    <v>805306368</v>
    <v>Allan Martine S. De Leon (Mayor)</v>
    <v>55967511-1848-ae7f-ba8f-8176bca37dd7</v>
    <v>en-US</v>
    <v>Generic</v>
  </rv>
  <rv s="3">
    <v>16</v>
  </rv>
  <rv s="4">
    <v>https://www.bing.com/search?q=taytay%2c+rizal&amp;form=skydnc</v>
    <v>Learn more on Bing</v>
  </rv>
  <rv s="1">
    <fb>121.13249999999999</fb>
    <v>9</v>
  </rv>
  <rv s="1">
    <fb>386451</fb>
    <v>8</v>
  </rv>
  <rv s="10">
    <v>#VALUE!</v>
    <v>en-US</v>
    <v>7b14d8f7-7399-633e-c534-362a44868dcd</v>
    <v>536870912</v>
    <v>1</v>
    <v>43</v>
    <v>44</v>
    <v>Taytay, Rizal</v>
    <v>4</v>
    <v>5</v>
    <v>Map</v>
    <v>6</v>
    <v>7</v>
    <v>177</v>
    <v>52</v>
    <v>Taytay, officially the Municipality of Taytay, is a 1st class urban municipality in the province of Rizal, Philippines. It is also known as the Garments Capital of the Philippines. Most occupation of the residents are related to supplying ...</v>
    <v>178</v>
    <v>179</v>
    <v>181</v>
    <v>182</v>
    <v>183</v>
    <v>Taytay, Rizal</v>
    <v>184</v>
    <v>Taytay, Rizal</v>
    <v>mdp/vdpid/7897983504070213633</v>
  </rv>
  <rv s="1">
    <fb>209.4</fb>
    <v>8</v>
  </rv>
  <rv s="2">
    <v>6</v>
    <v>6</v>
    <v>45</v>
    <v>7</v>
    <v>0</v>
    <v>Image of Lipa, Batangas</v>
  </rv>
  <rv s="1">
    <fb>13.941111111111001</fb>
    <v>9</v>
  </rv>
  <rv s="0">
    <v>805306368</v>
    <v>Eric B. Africa (Mayor)</v>
    <v>9f4d13ca-aa5e-075b-82a8-d896aaab47a6</v>
    <v>en-US</v>
    <v>Generic</v>
  </rv>
  <rv s="3">
    <v>17</v>
  </rv>
  <rv s="4">
    <v>https://www.bing.com/search?q=lipa%2c+batangas&amp;form=skydnc</v>
    <v>Learn more on Bing</v>
  </rv>
  <rv s="1">
    <fb>121.16222222222</fb>
    <v>9</v>
  </rv>
  <rv s="1">
    <fb>372931</fb>
    <v>8</v>
  </rv>
  <rv s="8">
    <v>#VALUE!</v>
    <v>en-US</v>
    <v>a9a725f1-451c-3b36-826e-159417cc0fe1</v>
    <v>536870912</v>
    <v>1</v>
    <v>46</v>
    <v>20</v>
    <v>Lipa, Batangas</v>
    <v>4</v>
    <v>5</v>
    <v>Map</v>
    <v>6</v>
    <v>7</v>
    <v>5</v>
    <v>186</v>
    <v>52</v>
    <v>Lipa, officially the City of Lipa, is a component city in the province of Batangas, Philippines. According to the 2020 census, it has a population of 372,931 people. It is the first city charter in the province and one of five cities in Batangas ...</v>
    <v>187</v>
    <v>188</v>
    <v>190</v>
    <v>191</v>
    <v>192</v>
    <v>Lipa, Batangas</v>
    <v>193</v>
    <v>135</v>
    <v>Lipa, Batangas</v>
    <v>mdp/vdpid/7898755190692511745</v>
  </rv>
  <rv s="0">
    <v>536870912</v>
    <v>Nueva Ecija</v>
    <v>e5430242-c181-bbba-a8d5-d8679420d015</v>
    <v>en-US</v>
    <v>Map</v>
  </rv>
  <rv s="1">
    <fb>192.29</fb>
    <v>8</v>
  </rv>
  <rv s="2">
    <v>8</v>
    <v>6</v>
    <v>47</v>
    <v>7</v>
    <v>0</v>
    <v>Image of Cabanatuan</v>
  </rv>
  <rv s="1">
    <fb>15.490833333333301</fb>
    <v>9</v>
  </rv>
  <rv s="0">
    <v>805306368</v>
    <v>Myca Elizabeth R. Vergara (Mayor)</v>
    <v>7b668882-b72c-a100-5aa3-5acc9a3dbe0c</v>
    <v>en-US</v>
    <v>Generic</v>
  </rv>
  <rv s="3">
    <v>18</v>
  </rv>
  <rv s="4">
    <v>https://www.bing.com/search?q=cabanatuan+city&amp;form=skydnc</v>
    <v>Learn more on Bing</v>
  </rv>
  <rv s="1">
    <fb>120.967777777778</fb>
    <v>9</v>
  </rv>
  <rv s="1">
    <fb>327325</fb>
    <v>8</v>
  </rv>
  <rv s="8">
    <v>#VALUE!</v>
    <v>en-US</v>
    <v>f03fe462-07cb-ddb0-6c0d-3fdb9baa2a7a</v>
    <v>536870912</v>
    <v>1</v>
    <v>48</v>
    <v>20</v>
    <v>Cabanatuan</v>
    <v>4</v>
    <v>5</v>
    <v>Map</v>
    <v>6</v>
    <v>7</v>
    <v>195</v>
    <v>196</v>
    <v>52</v>
    <v>Cabanatuan, officially the City of Cabanatuan, is a component city in the province of Nueva Ecija, Philippines. According to the 2020 census, it has a population of 327,325 people, making it the most populous city in Nueva Ecija and the ...</v>
    <v>197</v>
    <v>198</v>
    <v>200</v>
    <v>201</v>
    <v>202</v>
    <v>Cabanatuan</v>
    <v>203</v>
    <v>88</v>
    <v>Cabanatuan</v>
    <v>mdp/vdpid/7897907114352312321</v>
  </rv>
  <rv s="0">
    <v>536870912</v>
    <v>Cebu</v>
    <v>6fe7c68a-9515-9e1b-6ef3-215c4102b56d</v>
    <v>en-US</v>
    <v>Map</v>
  </rv>
  <rv s="1">
    <fb>34.869999999999997</fb>
    <v>8</v>
  </rv>
  <rv s="2">
    <v>26</v>
    <v>6</v>
    <v>49</v>
    <v>7</v>
    <v>0</v>
    <v>Image of Mandaue</v>
  </rv>
  <rv s="1">
    <fb>10.333333333333</fb>
    <v>9</v>
  </rv>
  <rv s="0">
    <v>805306368</v>
    <v>Jonas Cortes (Mayor)</v>
    <v>1b52908f-5651-4625-f006-384f6a776657</v>
    <v>en-US</v>
    <v>Generic</v>
  </rv>
  <rv s="3">
    <v>19</v>
  </rv>
  <rv s="4">
    <v>https://www.bing.com/search?q=mandaue&amp;form=skydnc</v>
    <v>Learn more on Bing</v>
  </rv>
  <rv s="1">
    <fb>123.93333333333</fb>
    <v>9</v>
  </rv>
  <rv s="1">
    <fb>364116</fb>
    <v>8</v>
  </rv>
  <rv s="5">
    <v>#VALUE!</v>
    <v>en-US</v>
    <v>6099eaaf-c792-74c0-0331-91d036bb04b8</v>
    <v>536870912</v>
    <v>1</v>
    <v>50</v>
    <v>2</v>
    <v>Mandaue</v>
    <v>4</v>
    <v>5</v>
    <v>Map</v>
    <v>6</v>
    <v>7</v>
    <v>205</v>
    <v>206</v>
    <v>52</v>
    <v>Mandaue, officially the City of Mandaue, is a 1st class highly urbanized city in the Central Visayas region of the Philippines. According to the 2020 census, it has a population of 364,116 people. It is geographically located on the ...</v>
    <v>207</v>
    <v>208</v>
    <v>210</v>
    <v>211</v>
    <v>212</v>
    <v>Mandaue</v>
    <v>213</v>
    <v>Mandaue</v>
    <v>mdp/vdpid/7917405211897888769</v>
  </rv>
  <rv s="0">
    <v>536870912</v>
    <v>Misamis Oriental</v>
    <v>53920b42-5d5d-510b-d05f-df387a2297e5</v>
    <v>en-US</v>
    <v>Map</v>
  </rv>
  <rv s="1">
    <fb>412.8</fb>
    <v>8</v>
  </rv>
  <rv s="2">
    <v>9</v>
    <v>6</v>
    <v>51</v>
    <v>7</v>
    <v>0</v>
    <v>Image of Cagayan de Oro</v>
  </rv>
  <rv s="1">
    <fb>8.4833333333333005</fb>
    <v>9</v>
  </rv>
  <rv s="0">
    <v>805306368</v>
    <v>Rolando Uy (Mayor)</v>
    <v>75bcf33f-bcde-9034-8542-a8f2f68c2b1a</v>
    <v>en-US</v>
    <v>Generic</v>
  </rv>
  <rv s="3">
    <v>20</v>
  </rv>
  <rv s="4">
    <v>https://www.bing.com/search?q=cagayan+de+oro&amp;form=skydnc</v>
    <v>Learn more on Bing</v>
  </rv>
  <rv s="1">
    <fb>124.65</fb>
    <v>9</v>
  </rv>
  <rv s="1">
    <fb>728402</fb>
    <v>8</v>
  </rv>
  <rv s="8">
    <v>#VALUE!</v>
    <v>en-US</v>
    <v>00aa4c25-52a2-1742-010d-8c096939961c</v>
    <v>536870912</v>
    <v>1</v>
    <v>52</v>
    <v>20</v>
    <v>Cagayan de Oro</v>
    <v>4</v>
    <v>5</v>
    <v>Map</v>
    <v>6</v>
    <v>7</v>
    <v>215</v>
    <v>216</v>
    <v>52</v>
    <v>Cagayan de Oro, officially the City of Cagayan de Oro, is a highly urbanized city in the region of Northern Mindanao, Philippines. According to the 2020 census, it has a population of 728,402 people, making it the 10th most populous city in the ...</v>
    <v>217</v>
    <v>218</v>
    <v>220</v>
    <v>221</v>
    <v>222</v>
    <v>Cagayan de Oro</v>
    <v>223</v>
    <v>135</v>
    <v>Cagayan de Oro</v>
    <v>mdp/vdpid/7917740552072724482</v>
  </rv>
  <rv s="0">
    <v>536870912</v>
    <v>Pangasinan</v>
    <v>6c62aac0-e663-ab19-3a75-8e886d38c402</v>
    <v>en-US</v>
    <v>Map</v>
  </rv>
  <rv s="1">
    <fb>48.36</fb>
    <v>8</v>
  </rv>
  <rv s="2">
    <v>10</v>
    <v>6</v>
    <v>53</v>
    <v>7</v>
    <v>0</v>
    <v>Image of Calasiao</v>
  </rv>
  <rv s="1">
    <fb>16.016666666667</fb>
    <v>9</v>
  </rv>
  <rv s="0">
    <v>805306368</v>
    <v>Kevin Roy Q. Macanlalay (Mayor)</v>
    <v>4b4a06f9-7f2a-b046-00c9-38d11d400155</v>
    <v>en-US</v>
    <v>Generic</v>
  </rv>
  <rv s="3">
    <v>21</v>
  </rv>
  <rv s="4">
    <v>https://www.bing.com/search?q=calasiao+pangasinan&amp;form=skydnc</v>
    <v>Learn more on Bing</v>
  </rv>
  <rv s="1">
    <fb>120.36666666667</fb>
    <v>9</v>
  </rv>
  <rv s="1">
    <fb>100471</fb>
    <v>8</v>
  </rv>
  <rv s="5">
    <v>#VALUE!</v>
    <v>en-US</v>
    <v>fdcadbb1-0df7-8ada-791a-00981419721d</v>
    <v>536870912</v>
    <v>1</v>
    <v>54</v>
    <v>2</v>
    <v>Calasiao</v>
    <v>4</v>
    <v>5</v>
    <v>Map</v>
    <v>6</v>
    <v>7</v>
    <v>225</v>
    <v>226</v>
    <v>52</v>
    <v>Calasiao, officially the Municipality of Calasiao, is a 1st class municipality in the province of Pangasinan, Philippines. According to the 2020 census, it has a population of 100,471 people. Today, Calasiao is known as a first class, highly ...</v>
    <v>227</v>
    <v>228</v>
    <v>230</v>
    <v>231</v>
    <v>232</v>
    <v>Calasiao</v>
    <v>233</v>
    <v>Calasiao</v>
    <v>mdp/vdpid/7897310320610246657</v>
  </rv>
  <rv s="0">
    <v>536870912</v>
    <v>Cavite</v>
    <v>59ab90bf-7ff8-a433-d78a-2803f3bcc64a</v>
    <v>en-US</v>
    <v>Map</v>
  </rv>
  <rv s="1">
    <fb>29.68</fb>
    <v>8</v>
  </rv>
  <rv s="2">
    <v>11</v>
    <v>6</v>
    <v>55</v>
    <v>7</v>
    <v>0</v>
    <v>Image of Carmona, Cavite</v>
  </rv>
  <rv s="0">
    <v>805306368</v>
    <v>Dahlia A. Loyola (Mayor)</v>
    <v>823f97eb-d1f2-5a4a-eee9-7ad036060a8e</v>
    <v>en-US</v>
    <v>Generic</v>
  </rv>
  <rv s="3">
    <v>22</v>
  </rv>
  <rv s="4">
    <v>https://www.bing.com/search?q=carmona%2c+cavite+philippines&amp;form=skydnc</v>
    <v>Learn more on Bing</v>
  </rv>
  <rv s="1">
    <fb>121.05</fb>
    <v>9</v>
  </rv>
  <rv s="1">
    <fb>106256</fb>
    <v>8</v>
  </rv>
  <rv s="8">
    <v>#VALUE!</v>
    <v>en-US</v>
    <v>e5e568a9-550e-a1d6-ba1e-47115aea4121</v>
    <v>536870912</v>
    <v>1</v>
    <v>56</v>
    <v>20</v>
    <v>Carmona, Cavite</v>
    <v>4</v>
    <v>5</v>
    <v>Map</v>
    <v>6</v>
    <v>7</v>
    <v>235</v>
    <v>236</v>
    <v>52</v>
    <v>Carmona, officially the City of Carmona, is a component city in the province of Cavite, Philippines. According to the 2020 census, it has a population of 106,256 people. Carmona is also the newest city in the Philippines; it became a city on ...</v>
    <v>237</v>
    <v>54</v>
    <v>239</v>
    <v>240</v>
    <v>241</v>
    <v>Carmona, Cavite</v>
    <v>242</v>
    <v>88</v>
    <v>Carmona, Cavite</v>
    <v>mdp/vdpid/7897996033446117378</v>
  </rv>
  <rv s="0">
    <v>536870912</v>
    <v>Negros Oriental</v>
    <v>a810cefa-ce8b-24f9-c464-8563570dddbc</v>
    <v>en-US</v>
    <v>Map</v>
  </rv>
  <rv s="1">
    <fb>33.619999999999997</fb>
    <v>8</v>
  </rv>
  <rv s="2">
    <v>14</v>
    <v>6</v>
    <v>57</v>
    <v>7</v>
    <v>0</v>
    <v>Image of Dumaguete</v>
  </rv>
  <rv s="1">
    <fb>9.3102780000000003</fb>
    <v>9</v>
  </rv>
  <rv s="0">
    <v>805306368</v>
    <v>Felipe Antonio B. Remollo (Mayor)</v>
    <v>4010062a-4be2-1a89-6bfb-14127906617a</v>
    <v>en-US</v>
    <v>Generic</v>
  </rv>
  <rv s="3">
    <v>23</v>
  </rv>
  <rv s="4">
    <v>https://www.bing.com/search?q=dumaguete&amp;form=skydnc</v>
    <v>Learn more on Bing</v>
  </rv>
  <rv s="1">
    <fb>123.30805599999999</fb>
    <v>9</v>
  </rv>
  <rv s="1">
    <fb>134103</fb>
    <v>8</v>
  </rv>
  <rv s="5">
    <v>#VALUE!</v>
    <v>en-US</v>
    <v>67f6623a-d1a0-50e3-7d16-522d18f3fd9f</v>
    <v>536870912</v>
    <v>1</v>
    <v>58</v>
    <v>2</v>
    <v>Dumaguete</v>
    <v>4</v>
    <v>5</v>
    <v>Map</v>
    <v>6</v>
    <v>7</v>
    <v>244</v>
    <v>245</v>
    <v>52</v>
    <v>Dumaguete, officially the City of Dumaguete, is a 2nd class component city and the capital of the province of Negros Oriental, Philippines. It is the most populous city, and the smallest city by land area, in Negros Oriental. According to the ...</v>
    <v>246</v>
    <v>247</v>
    <v>249</v>
    <v>250</v>
    <v>251</v>
    <v>Dumaguete</v>
    <v>252</v>
    <v>Dumaguete</v>
    <v>mdp/vdpid/7911617485802045441</v>
  </rv>
  <rv s="0">
    <v>536870912</v>
    <v>Zambales</v>
    <v>fb1f00fe-78f7-2506-a3c2-02c4389d38d7</v>
    <v>en-US</v>
    <v>Map</v>
  </rv>
  <rv s="1">
    <fb>287.16000000000003</fb>
    <v>8</v>
  </rv>
  <rv s="2">
    <v>39</v>
    <v>6</v>
    <v>59</v>
    <v>7</v>
    <v>0</v>
    <v>Image of Subic, Zambales</v>
  </rv>
  <rv s="1">
    <fb>14.876944444444399</fb>
    <v>9</v>
  </rv>
  <rv s="0">
    <v>805306368</v>
    <v>Jonathan John F. Khonghun (Mayor)</v>
    <v>d7d72092-fd9e-adec-a12c-6392229531d3</v>
    <v>en-US</v>
    <v>Generic</v>
  </rv>
  <rv s="3">
    <v>24</v>
  </rv>
  <rv s="4">
    <v>https://www.bing.com/search?q=subic+zambales&amp;form=skydnc</v>
    <v>Learn more on Bing</v>
  </rv>
  <rv s="1">
    <fb>120.232777777778</fb>
    <v>9</v>
  </rv>
  <rv s="1">
    <fb>111912</fb>
    <v>8</v>
  </rv>
  <rv s="8">
    <v>#VALUE!</v>
    <v>en-US</v>
    <v>fb283a0a-93e2-6603-93ad-567e0e3ca290</v>
    <v>536870912</v>
    <v>1</v>
    <v>60</v>
    <v>20</v>
    <v>Subic, Zambales</v>
    <v>4</v>
    <v>5</v>
    <v>Map</v>
    <v>6</v>
    <v>7</v>
    <v>254</v>
    <v>255</v>
    <v>52</v>
    <v>Subic, officially the Municipality of Subic, is a municipality in the province of Zambales, Philippines. According to the 2020 census, it has a population of 111,912 people. The native Zambales inhabitants called the area Hubek, which means ...</v>
    <v>256</v>
    <v>257</v>
    <v>259</v>
    <v>260</v>
    <v>261</v>
    <v>Subic, Zambales</v>
    <v>262</v>
    <v>135</v>
    <v>Subic, Zambales</v>
    <v>mdp/vdpid/7897518207899009025</v>
  </rv>
  <rv s="1">
    <fb>144</fb>
    <v>8</v>
  </rv>
  <rv s="2">
    <v>12</v>
    <v>6</v>
    <v>61</v>
    <v>7</v>
    <v>0</v>
    <v>Image of Cordon, Isabela</v>
  </rv>
  <rv s="1">
    <fb>16.666666666666998</fb>
    <v>9</v>
  </rv>
  <rv s="0">
    <v>805306368</v>
    <v>Lynn M. Zuniega (Mayor)</v>
    <v>770d0896-ab51-7482-f4d1-24ff83843447</v>
    <v>en-US</v>
    <v>Generic</v>
  </rv>
  <rv s="3">
    <v>25</v>
  </rv>
  <rv s="4">
    <v>https://www.bing.com/search?q=cordon+philippines&amp;form=skydnc</v>
    <v>Learn more on Bing</v>
  </rv>
  <rv s="1">
    <fb>121.45</fb>
    <v>9</v>
  </rv>
  <rv s="1">
    <fb>46477</fb>
    <v>8</v>
  </rv>
  <rv s="5">
    <v>#VALUE!</v>
    <v>en-US</v>
    <v>17bc864e-856f-e650-78f8-2ade7eefed7f</v>
    <v>536870912</v>
    <v>1</v>
    <v>62</v>
    <v>2</v>
    <v>Cordon, Isabela</v>
    <v>4</v>
    <v>5</v>
    <v>Map</v>
    <v>6</v>
    <v>7</v>
    <v>17</v>
    <v>264</v>
    <v>52</v>
    <v>Cordon, officially the Municipality of Cordon, is a 2nd class municipality in the province of Isabela, Philippines. According to the 2020 census, it has a population of 46,477 people. Being the town nearest to Santiago City, it became a favored ...</v>
    <v>265</v>
    <v>266</v>
    <v>268</v>
    <v>269</v>
    <v>270</v>
    <v>Cordon, Isabela</v>
    <v>271</v>
    <v>Cordon, Isabela</v>
    <v>mdp/vdpid/7897640622033469441</v>
  </rv>
  <rv s="1">
    <fb>53.15</fb>
    <v>8</v>
  </rv>
  <rv s="2">
    <v>18</v>
    <v>6</v>
    <v>63</v>
    <v>7</v>
    <v>0</v>
    <v>Image of Imus</v>
  </rv>
  <rv s="1">
    <fb>14.429722222222001</fb>
    <v>9</v>
  </rv>
  <rv s="0">
    <v>805306368</v>
    <v>Alex L. Advincula (Mayor)</v>
    <v>de32e8d4-dd89-73d0-2904-590ae3042d78</v>
    <v>en-US</v>
    <v>Generic</v>
  </rv>
  <rv s="3">
    <v>26</v>
  </rv>
  <rv s="4">
    <v>https://www.bing.com/search?q=imus+cavite+philippines&amp;form=skydnc</v>
    <v>Learn more on Bing</v>
  </rv>
  <rv s="1">
    <fb>120.93666666667001</fb>
    <v>9</v>
  </rv>
  <rv s="1">
    <fb>496794</fb>
    <v>8</v>
  </rv>
  <rv s="8">
    <v>#VALUE!</v>
    <v>en-US</v>
    <v>7b227cdf-70b1-e5a6-9b33-aae7890f5cec</v>
    <v>536870912</v>
    <v>1</v>
    <v>64</v>
    <v>20</v>
    <v>Imus</v>
    <v>4</v>
    <v>5</v>
    <v>Map</v>
    <v>6</v>
    <v>7</v>
    <v>235</v>
    <v>273</v>
    <v>52</v>
    <v>Imus, officially the City of Imus, is a component city and de jure capital of the province of Cavite, Philippines. According to the 2020 census, it has a population of 496,794 people. It is the de jure capital of the province of Cavite, located ...</v>
    <v>274</v>
    <v>275</v>
    <v>277</v>
    <v>278</v>
    <v>279</v>
    <v>Imus</v>
    <v>280</v>
    <v>97</v>
    <v>Imus</v>
    <v>mdp/vdpid/7897994349751828481</v>
  </rv>
  <rv s="0">
    <v>536870912</v>
    <v>Misamis Occidental</v>
    <v>90251788-07d6-5de9-5fb2-122d9011b748</v>
    <v>en-US</v>
    <v>Map</v>
  </rv>
  <rv s="1">
    <fb>169.95</fb>
    <v>8</v>
  </rv>
  <rv s="2">
    <v>31</v>
    <v>6</v>
    <v>65</v>
    <v>7</v>
    <v>0</v>
    <v>Image of Ozamiz</v>
  </rv>
  <rv s="1">
    <fb>8.15</fb>
    <v>9</v>
  </rv>
  <rv s="0">
    <v>805306368</v>
    <v>Atty. Henry “Indy” F. Oaminal Jr. (Mayor)</v>
    <v>24fffb3e-83aa-a538-fd37-c62607e3234f</v>
    <v>en-US</v>
    <v>Generic</v>
  </rv>
  <rv s="3">
    <v>27</v>
  </rv>
  <rv s="4">
    <v>https://www.bing.com/search?q=ozamiz&amp;form=skydnc</v>
    <v>Learn more on Bing</v>
  </rv>
  <rv s="1">
    <fb>123.85</fb>
    <v>9</v>
  </rv>
  <rv s="1">
    <fb>140334</fb>
    <v>8</v>
  </rv>
  <rv s="8">
    <v>#VALUE!</v>
    <v>en-US</v>
    <v>acc92dcf-c410-9055-0ae0-3a0dc419f45b</v>
    <v>536870912</v>
    <v>1</v>
    <v>66</v>
    <v>20</v>
    <v>Ozamiz</v>
    <v>4</v>
    <v>5</v>
    <v>Map</v>
    <v>6</v>
    <v>7</v>
    <v>282</v>
    <v>283</v>
    <v>52</v>
    <v>Ozamiz, officially the City of Ozamiz, is a component city in the province of Misamis Occidental, Philippines. According to the 2020 census, it has a population of 140,334 people making it the most populous city in Misamis Occidental.</v>
    <v>284</v>
    <v>285</v>
    <v>287</v>
    <v>288</v>
    <v>289</v>
    <v>Ozamiz</v>
    <v>290</v>
    <v>135</v>
    <v>Ozamiz</v>
    <v>mdp/vdpid/7918471695948578817</v>
  </rv>
  <rv s="0">
    <v>536870912</v>
    <v>South Cotabato</v>
    <v>4f68ac36-80cf-cb03-603c-a39763ff6a63</v>
    <v>en-US</v>
    <v>Map</v>
  </rv>
  <rv s="1">
    <fb>492.86</fb>
    <v>8</v>
  </rv>
  <rv s="2">
    <v>15</v>
    <v>6</v>
    <v>67</v>
    <v>7</v>
    <v>0</v>
    <v>Image of General Santos</v>
  </rv>
  <rv s="1">
    <fb>6.1166666666667</fb>
    <v>9</v>
  </rv>
  <rv s="0">
    <v>805306368</v>
    <v>Lorelie G. Pacquiao (Mayor)</v>
    <v>d956833f-38af-86ea-5e01-ea282f093a4f</v>
    <v>en-US</v>
    <v>Generic</v>
  </rv>
  <rv s="3">
    <v>28</v>
  </rv>
  <rv s="4">
    <v>https://www.bing.com/search?q=general+santos&amp;form=skydnc</v>
    <v>Learn more on Bing</v>
  </rv>
  <rv s="1">
    <fb>125.16666666667</fb>
    <v>9</v>
  </rv>
  <rv s="1">
    <fb>697315</fb>
    <v>8</v>
  </rv>
  <rv s="5">
    <v>#VALUE!</v>
    <v>en-US</v>
    <v>59979766-000f-5fc7-71a2-6587f7de8b6a</v>
    <v>536870912</v>
    <v>1</v>
    <v>68</v>
    <v>2</v>
    <v>General Santos</v>
    <v>4</v>
    <v>5</v>
    <v>Map</v>
    <v>6</v>
    <v>7</v>
    <v>292</v>
    <v>293</v>
    <v>52</v>
    <v>General Santos, officially the City of General Santos, and abbreviated as GenSan, is a 1st class highly urbanized city in the region of Soccsksargen, Philippines. According to the 2020 census, it has a population of 697,315 people making it the ...</v>
    <v>294</v>
    <v>295</v>
    <v>297</v>
    <v>298</v>
    <v>299</v>
    <v>General Santos</v>
    <v>300</v>
    <v>General Santos</v>
    <v>mdp/vdpid/7918951125800189953</v>
  </rv>
  <rv s="0">
    <v>536870912</v>
    <v>Lanao del Norte</v>
    <v>53d4a5e4-9974-b921-1dec-e6ed33289570</v>
    <v>en-US</v>
    <v>Map</v>
  </rv>
  <rv s="1">
    <fb>813.37</fb>
    <v>8</v>
  </rv>
  <rv s="2">
    <v>16</v>
    <v>6</v>
    <v>69</v>
    <v>7</v>
    <v>0</v>
    <v>Image of Iligan</v>
  </rv>
  <rv s="1">
    <fb>8.2333333333333005</fb>
    <v>9</v>
  </rv>
  <rv s="0">
    <v>805306368</v>
    <v>Frederick W. Siao (Mayor)</v>
    <v>ac8b3169-2475-8044-8e1c-88cbd0450a48</v>
    <v>en-US</v>
    <v>Generic</v>
  </rv>
  <rv s="3">
    <v>29</v>
  </rv>
  <rv s="4">
    <v>https://www.bing.com/search?q=iligan&amp;form=skydnc</v>
    <v>Learn more on Bing</v>
  </rv>
  <rv s="1">
    <fb>124.25</fb>
    <v>9</v>
  </rv>
  <rv s="1">
    <fb>363115</fb>
    <v>8</v>
  </rv>
  <rv s="5">
    <v>#VALUE!</v>
    <v>en-US</v>
    <v>fa4382ef-168f-5e7a-2464-29abc07f8c75</v>
    <v>536870912</v>
    <v>1</v>
    <v>70</v>
    <v>2</v>
    <v>Iligan</v>
    <v>4</v>
    <v>5</v>
    <v>Map</v>
    <v>6</v>
    <v>7</v>
    <v>302</v>
    <v>303</v>
    <v>52</v>
    <v>Iligan, officially the City of Iligan, is a 1st class highly urbanized city in the region of Northern Mindanao, Philippines. According to the 2020 census, it has a population of 363,115 people making it the second most populous city in Northern ...</v>
    <v>304</v>
    <v>305</v>
    <v>307</v>
    <v>308</v>
    <v>309</v>
    <v>Iligan</v>
    <v>310</v>
    <v>Iligan</v>
    <v>mdp/vdpid/7918468020765196289</v>
  </rv>
  <rv s="1">
    <fb>1497.7</fb>
    <v>8</v>
  </rv>
  <rv s="0">
    <v>536870912</v>
    <v>San Fernando</v>
    <v>b439a4b2-0098-166d-028a-5827dcb65264</v>
    <v>en-US</v>
    <v>Map</v>
  </rv>
  <rv s="2">
    <v>21</v>
    <v>6</v>
    <v>71</v>
    <v>7</v>
    <v>0</v>
    <v>Image of La Union</v>
  </rv>
  <rv s="0">
    <v>805306368</v>
    <v>Raphaelle Veronica A. Ortega-David (Governor)</v>
    <v>0c12857a-9540-21c1-a566-014ee66ec1b1</v>
    <v>en-US</v>
    <v>Generic</v>
  </rv>
  <rv s="3">
    <v>30</v>
  </rv>
  <rv s="4">
    <v>https://www.bing.com/search?q=la+union&amp;form=skydnc</v>
    <v>Learn more on Bing</v>
  </rv>
  <rv s="1">
    <fb>822352</fb>
    <v>8</v>
  </rv>
  <rv s="9">
    <v>#VALUE!</v>
    <v>en-US</v>
    <v>28905729-f4e1-e195-8ee5-e9f0185f79bb</v>
    <v>536870912</v>
    <v>1</v>
    <v>73</v>
    <v>24</v>
    <v>La Union</v>
    <v>4</v>
    <v>5</v>
    <v>Map</v>
    <v>6</v>
    <v>7</v>
    <v>PH-LUN</v>
    <v>312</v>
    <v>313</v>
    <v>52</v>
    <v>La Union, officially the Province of La Union, is a province in the Philippines located in the Ilocos Region in the island of Luzon. Its capital is the City of San Fernando, which also serves as the regional center of the Ilocos Region.</v>
    <v>314</v>
    <v>313</v>
    <v>316</v>
    <v>317</v>
    <v>La Union</v>
    <v>318</v>
    <v>97</v>
    <v>La Union</v>
    <v>mdp/vdpid/-7996910285</v>
  </rv>
  <rv s="0">
    <v>536870912</v>
    <v>Cotabato</v>
    <v>bcd75c68-1bea-80bc-3ff6-de6b7165cba4</v>
    <v>en-US</v>
    <v>Map</v>
  </rv>
  <rv s="1">
    <fb>358.47</fb>
    <v>8</v>
  </rv>
  <rv s="2">
    <v>20</v>
    <v>6</v>
    <v>74</v>
    <v>7</v>
    <v>0</v>
    <v>Image of Kidapawan</v>
  </rv>
  <rv s="1">
    <fb>7.0083299999999999</fb>
    <v>9</v>
  </rv>
  <rv s="0">
    <v>805306368</v>
    <v>Jose Paolo M. Evangelista (Mayor)</v>
    <v>2cb14dd0-cc62-6048-d672-2962d322e50d</v>
    <v>en-US</v>
    <v>Generic</v>
  </rv>
  <rv s="3">
    <v>31</v>
  </rv>
  <rv s="4">
    <v>https://www.bing.com/search?q=kidapawan+philippines&amp;form=skydnc</v>
    <v>Learn more on Bing</v>
  </rv>
  <rv s="1">
    <fb>125.08944</fb>
    <v>9</v>
  </rv>
  <rv s="1">
    <fb>160791</fb>
    <v>8</v>
  </rv>
  <rv s="8">
    <v>#VALUE!</v>
    <v>en-US</v>
    <v>9ea64939-0737-7a77-d5f7-99ceb23608b1</v>
    <v>536870912</v>
    <v>1</v>
    <v>75</v>
    <v>20</v>
    <v>Kidapawan</v>
    <v>4</v>
    <v>5</v>
    <v>Map</v>
    <v>6</v>
    <v>7</v>
    <v>320</v>
    <v>321</v>
    <v>52</v>
    <v>Kidapawan, officially the City of Kidapawan, is a component city and the capital of the province of Cotabato, Philippines. From 3rd income class, it was reclassified as a 1st income class city on 1 January 2025. Moreover, according to the 2020 ...</v>
    <v>322</v>
    <v>323</v>
    <v>325</v>
    <v>326</v>
    <v>327</v>
    <v>Kidapawan</v>
    <v>328</v>
    <v>88</v>
    <v>Kidapawan</v>
    <v>mdp/vdpid/7918876859557740545</v>
  </rv>
  <rv s="0">
    <v>536870912</v>
    <v>Ilocos Norte</v>
    <v>6253095b-6816-7985-36be-29d6991cc865</v>
    <v>en-US</v>
    <v>Map</v>
  </rv>
  <rv s="1">
    <fb>116.08</fb>
    <v>8</v>
  </rv>
  <rv s="2">
    <v>22</v>
    <v>6</v>
    <v>76</v>
    <v>7</v>
    <v>0</v>
    <v>Image of Laoag</v>
  </rv>
  <rv s="1">
    <fb>18.197777777777802</fb>
    <v>9</v>
  </rv>
  <rv s="0">
    <v>805306368</v>
    <v>Michael Marcos Keon (Mayor)</v>
    <v>7a38f547-7358-a8ba-d2b4-8ea79445ad03</v>
    <v>en-US</v>
    <v>Generic</v>
  </rv>
  <rv s="3">
    <v>32</v>
  </rv>
  <rv s="4">
    <v>https://www.bing.com/search?q=laoag&amp;form=skydnc</v>
    <v>Learn more on Bing</v>
  </rv>
  <rv s="1">
    <fb>120.593611111111</fb>
    <v>9</v>
  </rv>
  <rv s="1">
    <fb>111651</fb>
    <v>8</v>
  </rv>
  <rv s="5">
    <v>#VALUE!</v>
    <v>en-US</v>
    <v>dcaae288-8f09-8fdb-f134-7f1270b315c2</v>
    <v>536870912</v>
    <v>1</v>
    <v>77</v>
    <v>2</v>
    <v>Laoag</v>
    <v>4</v>
    <v>5</v>
    <v>Map</v>
    <v>6</v>
    <v>7</v>
    <v>330</v>
    <v>331</v>
    <v>52</v>
    <v>Laoag, officially the City of Laoag, is a 3rd class component city and capital of the province of Ilocos Norte, Philippines. According to the 2020 census, it has a population of 111,651 people. It is the province's political, commercial, and ...</v>
    <v>332</v>
    <v>333</v>
    <v>335</v>
    <v>336</v>
    <v>337</v>
    <v>Laoag</v>
    <v>338</v>
    <v>Laoag</v>
    <v>mdp/vdpid/7894150809489768452</v>
  </rv>
  <rv s="1">
    <fb>32.69</fb>
    <v>8</v>
  </rv>
  <rv s="2">
    <v>23</v>
    <v>6</v>
    <v>78</v>
    <v>7</v>
    <v>0</v>
    <v>Image of Las Piñas</v>
  </rv>
  <rv s="1">
    <fb>14.45</fb>
    <v>9</v>
  </rv>
  <rv s="0">
    <v>805306368</v>
    <v>Imelda Aguilar (Mayor)</v>
    <v>43bfcb36-9f84-a23b-b3a6-617cebd3f201</v>
    <v>en-US</v>
    <v>Generic</v>
  </rv>
  <rv s="3">
    <v>33</v>
  </rv>
  <rv s="4">
    <v>https://www.bing.com/search?q=las+pi%c3%b1as&amp;form=skydnc</v>
    <v>Learn more on Bing</v>
  </rv>
  <rv s="1">
    <fb>120.98333333332999</fb>
    <v>9</v>
  </rv>
  <rv s="1">
    <fb>606293</fb>
    <v>8</v>
  </rv>
  <rv s="11">
    <v>#VALUE!</v>
    <v>en-US</v>
    <v>0e2306ad-3575-a060-2af4-b159c6590421</v>
    <v>536870912</v>
    <v>1</v>
    <v>79</v>
    <v>80</v>
    <v>Las Piñas</v>
    <v>4</v>
    <v>5</v>
    <v>Map</v>
    <v>6</v>
    <v>7</v>
    <v>69</v>
    <v>340</v>
    <v>52</v>
    <v>Las Piñas (Tagalog:, officially the City of Las Piñas, is a highly urbanized city in the National Capital Region of the Philippines. According to the 2020 census, it had a population of 606,293 people.</v>
    <v>341</v>
    <v>342</v>
    <v>344</v>
    <v>345</v>
    <v>346</v>
    <v>Las Piñas</v>
    <v>347</v>
    <v>135</v>
    <v>Las Piñas</v>
    <v>mdp/vdpid/7897982667709218818</v>
  </rv>
  <rv s="1">
    <fb>21.57</fb>
    <v>8</v>
  </rv>
  <rv s="2">
    <v>24</v>
    <v>6</v>
    <v>81</v>
    <v>7</v>
    <v>0</v>
    <v>Image of Makati</v>
  </rv>
  <rv s="1">
    <fb>14.5566666666667</fb>
    <v>9</v>
  </rv>
  <rv s="0">
    <v>805306368</v>
    <v>Abigail Binay (Mayor)</v>
    <v>8a219316-de9a-cc20-7ed1-c15566b323e8</v>
    <v>en-US</v>
    <v>Generic</v>
  </rv>
  <rv s="3">
    <v>34</v>
  </rv>
  <rv s="4">
    <v>https://www.bing.com/search?q=makati&amp;form=skydnc</v>
    <v>Learn more on Bing</v>
  </rv>
  <rv s="1">
    <fb>121.02138888888901</fb>
    <v>9</v>
  </rv>
  <rv s="1">
    <fb>292743</fb>
    <v>8</v>
  </rv>
  <rv s="11">
    <v>#VALUE!</v>
    <v>en-US</v>
    <v>4b3b3d66-4455-cc14-dc78-f62e50a77a7a</v>
    <v>536870912</v>
    <v>1</v>
    <v>82</v>
    <v>80</v>
    <v>Makati</v>
    <v>4</v>
    <v>5</v>
    <v>Map</v>
    <v>6</v>
    <v>7</v>
    <v>69</v>
    <v>349</v>
    <v>52</v>
    <v>Makati, officially the City of Makati, is a highly urbanized city in the National Capital Region of the Philippines, known for being one of the leading financial centers in the country. As of 2013, the city has the highest concentration of ...</v>
    <v>350</v>
    <v>351</v>
    <v>353</v>
    <v>354</v>
    <v>355</v>
    <v>Makati</v>
    <v>356</v>
    <v>135</v>
    <v>Makati</v>
    <v>mdp/vdpid/7897981714729795618</v>
  </rv>
  <rv s="1">
    <fb>67.25</fb>
    <v>8</v>
  </rv>
  <rv s="2">
    <v>25</v>
    <v>6</v>
    <v>83</v>
    <v>7</v>
    <v>0</v>
    <v>Image of Malolos</v>
  </rv>
  <rv s="1">
    <fb>14.843333333333</fb>
    <v>9</v>
  </rv>
  <rv s="0">
    <v>805306368</v>
    <v>Christian D. Natividad (Mayor)</v>
    <v>43813de4-6aef-9ed8-4d3b-844a571c1d71</v>
    <v>en-US</v>
    <v>Generic</v>
  </rv>
  <rv s="3">
    <v>35</v>
  </rv>
  <rv s="4">
    <v>https://www.bing.com/search?q=malolos+philippines&amp;form=skydnc</v>
    <v>Learn more on Bing</v>
  </rv>
  <rv s="1">
    <fb>120.81138888888999</fb>
    <v>9</v>
  </rv>
  <rv s="1">
    <fb>261189</fb>
    <v>8</v>
  </rv>
  <rv s="5">
    <v>#VALUE!</v>
    <v>en-US</v>
    <v>ae03f328-ea88-1f6f-9f32-b18611d14b3f</v>
    <v>536870912</v>
    <v>1</v>
    <v>84</v>
    <v>2</v>
    <v>Malolos</v>
    <v>4</v>
    <v>5</v>
    <v>Map</v>
    <v>6</v>
    <v>7</v>
    <v>157</v>
    <v>358</v>
    <v>52</v>
    <v>Malolos, officially the City of Malolos, is a 3rd class component city and capital of the province of Bulacan, Philippines. According to the 2020 census, it has a population of 261,189 people. It is the capital city of the province of Bulacan as ...</v>
    <v>359</v>
    <v>360</v>
    <v>362</v>
    <v>363</v>
    <v>364</v>
    <v>Malolos</v>
    <v>365</v>
    <v>Malolos</v>
    <v>mdp/vdpid/7897554071446355969</v>
  </rv>
  <rv s="1">
    <fb>13.78</fb>
    <v>8</v>
  </rv>
  <rv s="2">
    <v>27</v>
    <v>6</v>
    <v>85</v>
    <v>7</v>
    <v>0</v>
    <v>Image of Mandurriao</v>
  </rv>
  <rv s="1">
    <fb>10.716699999999999</fb>
    <v>9</v>
  </rv>
  <rv s="0">
    <v>805306368</v>
    <v>Jerry Treñas (Mayor)</v>
    <v>e459547d-92ef-01d0-a55c-db90916baef5</v>
    <v>en-US</v>
    <v>Generic</v>
  </rv>
  <rv s="3">
    <v>36</v>
  </rv>
  <rv s="4">
    <v>https://www.bing.com/search?q=mandurriao&amp;form=skydnc</v>
    <v>Learn more on Bing</v>
  </rv>
  <rv s="1">
    <fb>122.533</fb>
    <v>9</v>
  </rv>
  <rv s="1">
    <fb>62240</fb>
    <v>8</v>
  </rv>
  <rv s="12">
    <v>#VALUE!</v>
    <v>en-US</v>
    <v>5dcfacbc-34df-8717-81bc-dbede15c2712</v>
    <v>536870912</v>
    <v>1</v>
    <v>87</v>
    <v>88</v>
    <v>Mandurriao</v>
    <v>4</v>
    <v>5</v>
    <v>Map</v>
    <v>6</v>
    <v>7</v>
    <v>15</v>
    <v>62</v>
    <v>367</v>
    <v>52</v>
    <v>Mandurriao is a district in Iloilo City, Philippines, located in the province of Iloilo, on the island of Panay in the Western Visayas region. It is the second-largest district by geographical area as well as the third-most populous district, ...</v>
    <v>368</v>
    <v>369</v>
    <v>371</v>
    <v>372</v>
    <v>373</v>
    <v>Mandurriao</v>
    <v>374</v>
    <v>77</v>
    <v>Mandurriao</v>
    <v>mdp/vdpid/7911300654235123713</v>
  </rv>
  <rv s="1">
    <fb>100.26</fb>
    <v>8</v>
  </rv>
  <rv s="2">
    <v>47</v>
    <v>6</v>
    <v>89</v>
    <v>7</v>
    <v>0</v>
    <v>Image of Urdaneta, Pangasinan</v>
  </rv>
  <rv s="1">
    <fb>15.976111111111001</fb>
    <v>9</v>
  </rv>
  <rv s="0">
    <v>805306368</v>
    <v>Julio F. Parayno III (Mayor)</v>
    <v>ca2e6eb3-3483-1353-dbd7-2f92a413a06e</v>
    <v>en-US</v>
    <v>Generic</v>
  </rv>
  <rv s="3">
    <v>37</v>
  </rv>
  <rv s="4">
    <v>https://www.bing.com/search?q=urdaneta%2c+pangasinan&amp;form=skydnc</v>
    <v>Learn more on Bing</v>
  </rv>
  <rv s="1">
    <fb>120.57111111111</fb>
    <v>9</v>
  </rv>
  <rv s="1">
    <fb>144577</fb>
    <v>8</v>
  </rv>
  <rv s="8">
    <v>#VALUE!</v>
    <v>en-US</v>
    <v>6e625be4-3b65-93fb-40e3-6346d4781971</v>
    <v>536870912</v>
    <v>1</v>
    <v>90</v>
    <v>20</v>
    <v>Urdaneta, Pangasinan</v>
    <v>4</v>
    <v>5</v>
    <v>Map</v>
    <v>6</v>
    <v>7</v>
    <v>225</v>
    <v>376</v>
    <v>52</v>
    <v>Urdaneta, officially the City of Urdaneta, is a component city in the province of Pangasinan, Philippines. According to the 2020 census, it has a population of 144,577 people. Urdaneta City was founded on January 8, 1858, by Pangasinenses and ...</v>
    <v>377</v>
    <v>378</v>
    <v>380</v>
    <v>381</v>
    <v>382</v>
    <v>Urdaneta, Pangasinan</v>
    <v>383</v>
    <v>135</v>
    <v>Urdaneta, Pangasinan</v>
    <v>mdp/vdpid/7897315585736835073</v>
  </rv>
  <rv s="1">
    <fb>33.74</fb>
    <v>8</v>
  </rv>
  <rv s="2">
    <v>28</v>
    <v>6</v>
    <v>91</v>
    <v>7</v>
    <v>0</v>
    <v>Image of Marilao</v>
  </rv>
  <rv s="1">
    <fb>14.758055555556</fb>
    <v>9</v>
  </rv>
  <rv s="0">
    <v>805306368</v>
    <v>Henry R. Lutao (Mayor)</v>
    <v>42aa4f9f-8c7e-c5f2-dbe4-6da173d68548</v>
    <v>en-US</v>
    <v>Generic</v>
  </rv>
  <rv s="3">
    <v>38</v>
  </rv>
  <rv s="4">
    <v>https://www.bing.com/search?q=marilao+bulacan&amp;form=skydnc</v>
    <v>Learn more on Bing</v>
  </rv>
  <rv s="1">
    <fb>120.94805555556</fb>
    <v>9</v>
  </rv>
  <rv s="1">
    <fb>254453</fb>
    <v>8</v>
  </rv>
  <rv s="5">
    <v>#VALUE!</v>
    <v>en-US</v>
    <v>4524437f-b07e-a992-ca65-f4448552a3a0</v>
    <v>536870912</v>
    <v>1</v>
    <v>92</v>
    <v>2</v>
    <v>Marilao</v>
    <v>4</v>
    <v>5</v>
    <v>Map</v>
    <v>6</v>
    <v>7</v>
    <v>157</v>
    <v>385</v>
    <v>52</v>
    <v>Marilao, officially the Municipality of Marilao, is a 1st class urban municipality in the province of Bulacan, Philippines. According to the 2020 census, it has a population of 254,453 people. With the continuous expansion of Metro Manila, ...</v>
    <v>386</v>
    <v>387</v>
    <v>389</v>
    <v>390</v>
    <v>391</v>
    <v>Marilao</v>
    <v>392</v>
    <v>Marilao</v>
    <v>mdp/vdpid/7897976760166252545</v>
  </rv>
  <rv s="0">
    <v>536870912</v>
    <v>Bataan</v>
    <v>4c22acf7-e90d-0daf-6d66-a63f5b2adcc3</v>
    <v>en-US</v>
    <v>Map</v>
  </rv>
  <rv s="1">
    <fb>64.900000000000006</fb>
    <v>8</v>
  </rv>
  <rv s="2">
    <v>29</v>
    <v>6</v>
    <v>93</v>
    <v>7</v>
    <v>0</v>
    <v>Image of Orani</v>
  </rv>
  <rv s="1">
    <fb>14.8</fb>
    <v>9</v>
  </rv>
  <rv s="0">
    <v>805306368</v>
    <v>Efren Dominic E. Pascual Jr. (Mayor)</v>
    <v>7e5cf128-a995-dacc-3a59-bd5829135465</v>
    <v>en-US</v>
    <v>Generic</v>
  </rv>
  <rv s="3">
    <v>39</v>
  </rv>
  <rv s="4">
    <v>https://www.bing.com/search?q=orani+bataan+philippines&amp;form=skydnc</v>
    <v>Learn more on Bing</v>
  </rv>
  <rv s="1">
    <fb>120.53333333333001</fb>
    <v>9</v>
  </rv>
  <rv s="1">
    <fb>70342</fb>
    <v>8</v>
  </rv>
  <rv s="5">
    <v>#VALUE!</v>
    <v>en-US</v>
    <v>c882b36d-2fad-32b4-8e87-3f25df983497</v>
    <v>536870912</v>
    <v>1</v>
    <v>94</v>
    <v>2</v>
    <v>Orani</v>
    <v>4</v>
    <v>5</v>
    <v>Map</v>
    <v>6</v>
    <v>7</v>
    <v>394</v>
    <v>395</v>
    <v>52</v>
    <v>Orani, officially the Municipality of Orani, is a 1st class municipality in the province of Bataan, Philippines. According to the 2020 census, it has a population of 70,342 people.</v>
    <v>396</v>
    <v>397</v>
    <v>399</v>
    <v>400</v>
    <v>401</v>
    <v>Orani</v>
    <v>402</v>
    <v>Orani</v>
    <v>mdp/vdpid/7897545627037335553</v>
  </rv>
  <rv s="0">
    <v>536870912</v>
    <v>Leyte</v>
    <v>94c97459-3cfd-4ff5-f776-aa7ff55a7b2e</v>
    <v>en-US</v>
    <v>Map</v>
  </rv>
  <rv s="1">
    <fb>613.6</fb>
    <v>8</v>
  </rv>
  <rv s="2">
    <v>30</v>
    <v>6</v>
    <v>95</v>
    <v>7</v>
    <v>0</v>
    <v>Image of Ormoc</v>
  </rv>
  <rv s="1">
    <fb>11.0105555555556</fb>
    <v>9</v>
  </rv>
  <rv s="0">
    <v>805306368</v>
    <v>Lucy Torres-Gomez (Mayor)</v>
    <v>77f5ebed-ef6d-cf90-5217-e234635ea6ef</v>
    <v>en-US</v>
    <v>Generic</v>
  </rv>
  <rv s="3">
    <v>40</v>
  </rv>
  <rv s="4">
    <v>https://www.bing.com/search?q=ormoc&amp;form=skydnc</v>
    <v>Learn more on Bing</v>
  </rv>
  <rv s="1">
    <fb>124.6075</fb>
    <v>9</v>
  </rv>
  <rv s="1">
    <fb>230998</fb>
    <v>8</v>
  </rv>
  <rv s="8">
    <v>#VALUE!</v>
    <v>en-US</v>
    <v>decab6b8-4e1d-6b9c-3d5b-007a36c5118e</v>
    <v>536870912</v>
    <v>1</v>
    <v>96</v>
    <v>20</v>
    <v>Ormoc</v>
    <v>4</v>
    <v>5</v>
    <v>Map</v>
    <v>6</v>
    <v>7</v>
    <v>404</v>
    <v>405</v>
    <v>52</v>
    <v>Ormoc, officially the City of Ormoc, is a independent component city in the Eastern Visayas region of the Philippines. According to the 2020 census, it has a population of 230,998 inhabitants, making it the second most-populous city in the ...</v>
    <v>406</v>
    <v>407</v>
    <v>409</v>
    <v>410</v>
    <v>411</v>
    <v>Ormoc</v>
    <v>412</v>
    <v>135</v>
    <v>Ormoc</v>
    <v>mdp/vdpid/7917368512962625537</v>
  </rv>
  <rv s="0">
    <v>536870912</v>
    <v>Manila</v>
    <v>33b0f709-fe63-e51f-6893-aa4d29b074e5</v>
    <v>en-US</v>
    <v>Map</v>
  </rv>
  <rv s="2">
    <v>32</v>
    <v>6</v>
    <v>97</v>
    <v>7</v>
    <v>0</v>
    <v>Image of Paco, Manila</v>
  </rv>
  <rv s="1">
    <fb>14.583</fb>
    <v>9</v>
  </rv>
  <rv s="4">
    <v>https://www.bing.com/search?q=paco+manila&amp;form=skydnc</v>
    <v>Learn more on Bing</v>
  </rv>
  <rv s="1">
    <fb>120.983</fb>
    <v>9</v>
  </rv>
  <rv s="1">
    <fb>79839</fb>
    <v>8</v>
  </rv>
  <rv s="3">
    <v>41</v>
  </rv>
  <rv s="13">
    <v>#VALUE!</v>
    <v>en-US</v>
    <v>fc3bd115-1a63-ec34-1ab1-da843cf3ee5e</v>
    <v>536870912</v>
    <v>1</v>
    <v>98</v>
    <v>99</v>
    <v>Paco, Manila</v>
    <v>4</v>
    <v>5</v>
    <v>Map</v>
    <v>6</v>
    <v>100</v>
    <v>69</v>
    <v>414</v>
    <v>52</v>
    <v>Paco, formerly known as Dilao, is a district of Manila, Philippines, located south of the Pasig River and San Miguel, west of Santa Ana, southwest of Pandacan, north of Malate, northwest of San Andres Bukid, and east of Ermita. It had a ...</v>
    <v>415</v>
    <v>416</v>
    <v>417</v>
    <v>418</v>
    <v>Paco, Manila</v>
    <v>419</v>
    <v>420</v>
    <v>Paco, Manila</v>
    <v>mdp/vdpid/7897981299980238853</v>
  </rv>
  <rv s="1">
    <fb>14649.73</fb>
    <v>8</v>
  </rv>
  <rv s="0">
    <v>536870912</v>
    <v>Puerto Princesa</v>
    <v>20580cfd-3b03-0701-8bc4-521e997acc26</v>
    <v>en-US</v>
    <v>Map</v>
  </rv>
  <rv s="2">
    <v>33</v>
    <v>6</v>
    <v>101</v>
    <v>7</v>
    <v>0</v>
    <v>Image of Palawan</v>
  </rv>
  <rv s="0">
    <v>805306368</v>
    <v>Victorino Dennis M. Socrates (Governor)</v>
    <v>04f31a3f-43b8-7249-627e-ad00c4b8333b</v>
    <v>en-US</v>
    <v>Generic</v>
  </rv>
  <rv s="3">
    <v>42</v>
  </rv>
  <rv s="4">
    <v>https://www.bing.com/search?q=palawan&amp;form=skydnc</v>
    <v>Learn more on Bing</v>
  </rv>
  <rv s="1">
    <fb>939594</fb>
    <v>8</v>
  </rv>
  <rv s="6">
    <v>#VALUE!</v>
    <v>en-US</v>
    <v>30a179ba-83c7-ea59-aa9e-504c60d0306a</v>
    <v>536870912</v>
    <v>1</v>
    <v>103</v>
    <v>13</v>
    <v>Palawan</v>
    <v>4</v>
    <v>5</v>
    <v>Map</v>
    <v>6</v>
    <v>7</v>
    <v>PH-PLW</v>
    <v>422</v>
    <v>423</v>
    <v>52</v>
    <v>Palawan, officially the Province of Palawan, is an archipelagic province of the Philippines that is located in the region of Mimaropa. It is the largest province in the country in terms of total area of 14,649.73 km². The capital and largest ...</v>
    <v>424</v>
    <v>423</v>
    <v>426</v>
    <v>427</v>
    <v>Palawan</v>
    <v>428</v>
    <v>Palawan</v>
    <v>mdp/vdpid/-7996910248</v>
  </rv>
  <rv s="1">
    <fb>1414.7</fb>
    <v>8</v>
  </rv>
  <rv s="2">
    <v>49</v>
    <v>6</v>
    <v>104</v>
    <v>7</v>
    <v>0</v>
    <v>Image of Zamboanga City</v>
  </rv>
  <rv s="1">
    <fb>6.9041666666666703</fb>
    <v>9</v>
  </rv>
  <rv s="0">
    <v>805306368</v>
    <v>John M. Dalipe (Mayor)</v>
    <v>bd590297-d485-f601-87f9-1ac91f567e6f</v>
    <v>en-US</v>
    <v>Generic</v>
  </rv>
  <rv s="3">
    <v>43</v>
  </rv>
  <rv s="4">
    <v>https://www.bing.com/search?q=zamboanga+city&amp;form=skydnc</v>
    <v>Learn more on Bing</v>
  </rv>
  <rv s="1">
    <fb>122.076111111111</fb>
    <v>9</v>
  </rv>
  <rv s="1">
    <fb>977234</fb>
    <v>8</v>
  </rv>
  <rv s="14">
    <v>#VALUE!</v>
    <v>en-US</v>
    <v>37eb6d05-e9d4-c0b2-6af6-1842d60405bb</v>
    <v>536870912</v>
    <v>1</v>
    <v>105</v>
    <v>106</v>
    <v>Zamboanga City</v>
    <v>4</v>
    <v>5</v>
    <v>Map</v>
    <v>6</v>
    <v>7</v>
    <v>430</v>
    <v>52</v>
    <v>Zamboanga City, officially the City of Zamboanga, is a 1st class highly urbanized city in the Zamboanga Peninsula region of the Philippines. According to the 2020 census, it has a population of 977,234 people. It is the fifth-most populous and ...</v>
    <v>431</v>
    <v>432</v>
    <v>434</v>
    <v>435</v>
    <v>436</v>
    <v>Zamboanga City</v>
    <v>437</v>
    <v>97</v>
    <v>Zamboanga City</v>
    <v>mdp/vdpid/7912589513069690881</v>
  </rv>
  <rv s="0">
    <v>536870912</v>
    <v>Camarines Sur</v>
    <v>abce219f-6e2a-aed1-d1d8-0fa323980c58</v>
    <v>en-US</v>
    <v>Map</v>
  </rv>
  <rv s="1">
    <fb>126.25</fb>
    <v>8</v>
  </rv>
  <rv s="2">
    <v>34</v>
    <v>6</v>
    <v>107</v>
    <v>7</v>
    <v>0</v>
    <v>Image of Pili, Camarines Sur</v>
  </rv>
  <rv s="1">
    <fb>13.5561111111111</fb>
    <v>9</v>
  </rv>
  <rv s="0">
    <v>805306368</v>
    <v>Tomas P. Bongalonta (Mayor)</v>
    <v>39e36119-002d-65da-abe1-0a1e2ed74212</v>
    <v>en-US</v>
    <v>Generic</v>
  </rv>
  <rv s="3">
    <v>44</v>
  </rv>
  <rv s="4">
    <v>https://www.bing.com/search?q=pili%2c+camarines+sur&amp;form=skydnc</v>
    <v>Learn more on Bing</v>
  </rv>
  <rv s="1">
    <fb>123.275555555556</fb>
    <v>9</v>
  </rv>
  <rv s="1">
    <fb>99196</fb>
    <v>8</v>
  </rv>
  <rv s="5">
    <v>#VALUE!</v>
    <v>en-US</v>
    <v>12eeabcb-6f28-9c06-918c-894871559db4</v>
    <v>536870912</v>
    <v>1</v>
    <v>108</v>
    <v>2</v>
    <v>Pili, Camarines Sur</v>
    <v>4</v>
    <v>5</v>
    <v>Map</v>
    <v>6</v>
    <v>7</v>
    <v>439</v>
    <v>440</v>
    <v>52</v>
    <v>Pili, officially the Municipality of Pili is a 1st class municipality and capital of the province of Camarines Sur, Philippines. According to the 2020 census, it has a population of 99,196 people. The town is 450 kilometres from Manila.</v>
    <v>441</v>
    <v>442</v>
    <v>444</v>
    <v>445</v>
    <v>446</v>
    <v>Pili, Camarines Sur</v>
    <v>447</v>
    <v>Pili, Camarines Sur</v>
    <v>mdp/vdpid/7898948044102565889</v>
  </rv>
  <rv s="1">
    <fb>171.71</fb>
    <v>8</v>
  </rv>
  <rv s="2">
    <v>35</v>
    <v>6</v>
    <v>109</v>
    <v>7</v>
    <v>0</v>
    <v>Image of Quezon City</v>
  </rv>
  <rv s="1">
    <fb>14.65</fb>
    <v>9</v>
  </rv>
  <rv s="0">
    <v>805306368</v>
    <v>Joy Belmonte (Mayor)</v>
    <v>f0296806-06a7-7bc6-0f65-48c7f0d41dbf</v>
    <v>en-US</v>
    <v>Generic</v>
  </rv>
  <rv s="3">
    <v>45</v>
  </rv>
  <rv s="4">
    <v>https://www.bing.com/search?q=quezon+city&amp;form=skydnc</v>
    <v>Learn more on Bing</v>
  </rv>
  <rv s="1">
    <fb>121.0475</fb>
    <v>9</v>
  </rv>
  <rv s="1">
    <fb>2960048</fb>
    <v>8</v>
  </rv>
  <rv s="11">
    <v>#VALUE!</v>
    <v>en-US</v>
    <v>5e001b49-2fd0-4f45-a43f-6c8cdf9ee04c</v>
    <v>536870912</v>
    <v>1</v>
    <v>110</v>
    <v>80</v>
    <v>Quezon City</v>
    <v>4</v>
    <v>5</v>
    <v>Map</v>
    <v>6</v>
    <v>7</v>
    <v>69</v>
    <v>449</v>
    <v>52</v>
    <v>Quezon City, also known as the City of Quezon and Q.C., is the richest and most populous city in the Philippines. According to the 2020 census, it has a population of 2,960,048 people. It was founded on October 12, 1939, and was named after ...</v>
    <v>450</v>
    <v>451</v>
    <v>453</v>
    <v>454</v>
    <v>455</v>
    <v>Quezon City</v>
    <v>456</v>
    <v>88</v>
    <v>Quezon City</v>
    <v>mdp/vdpid/7897978519106355201</v>
  </rv>
  <rv s="1">
    <fb>1177.56</fb>
    <v>8</v>
  </rv>
  <rv s="2">
    <v>36</v>
    <v>6</v>
    <v>111</v>
    <v>7</v>
    <v>0</v>
    <v>Image of Roxas, Palawan</v>
  </rv>
  <rv s="1">
    <fb>10.3197222222222</fb>
    <v>9</v>
  </rv>
  <rv s="0">
    <v>805306368</v>
    <v>Dennis M. Sabando (Mayor)</v>
    <v>b72857ce-6903-836a-daab-8132de444442</v>
    <v>en-US</v>
    <v>Generic</v>
  </rv>
  <rv s="3">
    <v>46</v>
  </rv>
  <rv s="4">
    <v>https://www.bing.com/search?q=roxas%2c+palawan+philippines&amp;form=skydnc</v>
    <v>Learn more on Bing</v>
  </rv>
  <rv s="1">
    <fb>119.34083333333299</fb>
    <v>9</v>
  </rv>
  <rv s="1">
    <fb>69624</fb>
    <v>8</v>
  </rv>
  <rv s="5">
    <v>#VALUE!</v>
    <v>en-US</v>
    <v>2241d70c-eff8-42d0-ca58-f96d27b985e4</v>
    <v>536870912</v>
    <v>1</v>
    <v>112</v>
    <v>2</v>
    <v>Roxas, Palawan</v>
    <v>4</v>
    <v>5</v>
    <v>Map</v>
    <v>6</v>
    <v>7</v>
    <v>33</v>
    <v>458</v>
    <v>52</v>
    <v>Roxas, officially the Municipality of Roxas, is a 1st class municipality in the province of Palawan, Philippines. According to the 2020 census, it has a population of 69,624 people. Roxas was created under Republic Act No. 615 in 1951 from the ...</v>
    <v>459</v>
    <v>460</v>
    <v>462</v>
    <v>463</v>
    <v>464</v>
    <v>Roxas, Palawan</v>
    <v>465</v>
    <v>Roxas, Palawan</v>
    <v>mdp/vdpid/7910705153412431873</v>
  </rv>
  <rv s="0">
    <v>536870912</v>
    <v>Visayas</v>
    <v>fbe3b2cd-4198-4c68-96d1-2fd072d9f1bc</v>
    <v>en-US</v>
    <v>Map</v>
  </rv>
  <rv s="1">
    <fb>201.72</fb>
    <v>8</v>
  </rv>
  <rv s="2">
    <v>40</v>
    <v>6</v>
    <v>113</v>
    <v>7</v>
    <v>0</v>
    <v>Image of Tacloban</v>
  </rv>
  <rv s="1">
    <fb>11.244444444443999</fb>
    <v>9</v>
  </rv>
  <rv s="0">
    <v>805306368</v>
    <v>Alfred S. Romualdez (Mayor)</v>
    <v>e92b7ef6-914f-0e58-791d-31e6158bcaf1</v>
    <v>en-US</v>
    <v>Generic</v>
  </rv>
  <rv s="3">
    <v>47</v>
  </rv>
  <rv s="4">
    <v>https://www.bing.com/search?q=tacloban&amp;form=skydnc</v>
    <v>Learn more on Bing</v>
  </rv>
  <rv s="1">
    <fb>125.00388888889</fb>
    <v>9</v>
  </rv>
  <rv s="1">
    <fb>251881</fb>
    <v>8</v>
  </rv>
  <rv s="12">
    <v>#VALUE!</v>
    <v>en-US</v>
    <v>9636cbbd-cf84-bd92-4e08-d6a7d13cbed6</v>
    <v>536870912</v>
    <v>1</v>
    <v>114</v>
    <v>88</v>
    <v>Tacloban</v>
    <v>4</v>
    <v>5</v>
    <v>Map</v>
    <v>6</v>
    <v>7</v>
    <v>467</v>
    <v>404</v>
    <v>468</v>
    <v>52</v>
    <v>Tacloban, officially the City of Tacloban, is a highly urbanized city on Leyte island in the Eastern Visayas region of the Philippines. According to the 2020 census, Tacloban has a population of 251,881, making it the most populous city in the ...</v>
    <v>469</v>
    <v>470</v>
    <v>472</v>
    <v>473</v>
    <v>474</v>
    <v>Tacloban</v>
    <v>475</v>
    <v>135</v>
    <v>Tacloban</v>
    <v>mdp/vdpid/7905363254703030274</v>
  </rv>
  <rv s="0">
    <v>536870912</v>
    <v>Bohol</v>
    <v>d743e6b8-fccc-a061-aa7d-eeb4c19ca97b</v>
    <v>en-US</v>
    <v>Map</v>
  </rv>
  <rv s="1">
    <fb>36.5</fb>
    <v>8</v>
  </rv>
  <rv s="2">
    <v>41</v>
    <v>6</v>
    <v>115</v>
    <v>7</v>
    <v>0</v>
    <v>Image of Tagbilaran</v>
  </rv>
  <rv s="1">
    <fb>9.65</fb>
    <v>9</v>
  </rv>
  <rv s="0">
    <v>805306368</v>
    <v>Jane Cajes Yap (Mayor)</v>
    <v>639e78cb-b2d4-05f6-f774-6381dc792263</v>
    <v>en-US</v>
    <v>Generic</v>
  </rv>
  <rv s="3">
    <v>48</v>
  </rv>
  <rv s="4">
    <v>https://www.bing.com/search?q=tagbilaran+bohol+philippines&amp;form=skydnc</v>
    <v>Learn more on Bing</v>
  </rv>
  <rv s="1">
    <fb>104976</fb>
    <v>8</v>
  </rv>
  <rv s="8">
    <v>#VALUE!</v>
    <v>en-US</v>
    <v>4c62f625-d33a-9ed0-f292-1ca51b5ed1d4</v>
    <v>536870912</v>
    <v>1</v>
    <v>116</v>
    <v>20</v>
    <v>Tagbilaran</v>
    <v>4</v>
    <v>5</v>
    <v>Map</v>
    <v>6</v>
    <v>7</v>
    <v>477</v>
    <v>478</v>
    <v>52</v>
    <v>Tagbilaran, officially the City of Tagbilaran, is a component city and capital of the province of Bohol, Philippines. According to the 2020 census, it has a population of 104,976 people making it the most populous in the province.</v>
    <v>479</v>
    <v>480</v>
    <v>482</v>
    <v>483</v>
    <v>289</v>
    <v>Tagbilaran</v>
    <v>484</v>
    <v>97</v>
    <v>Tagbilaran</v>
    <v>mdp/vdpid/7917614633093955585</v>
  </rv>
  <rv s="0">
    <v>536870912</v>
    <v>Davao del Norte</v>
    <v>9d76fe2e-b56a-c6ae-77eb-ed4776895f94</v>
    <v>en-US</v>
    <v>Map</v>
  </rv>
  <rv s="1">
    <fb>195.8</fb>
    <v>8</v>
  </rv>
  <rv s="2">
    <v>42</v>
    <v>6</v>
    <v>117</v>
    <v>7</v>
    <v>0</v>
    <v>Image of Tagum</v>
  </rv>
  <rv s="1">
    <fb>7.4477799999999998</fb>
    <v>9</v>
  </rv>
  <rv s="0">
    <v>805306368</v>
    <v>Rey T. Uy (Mayor)</v>
    <v>c4da9349-5ceb-6f94-c984-34c4ab34d922</v>
    <v>en-US</v>
    <v>Generic</v>
  </rv>
  <rv s="3">
    <v>49</v>
  </rv>
  <rv s="4">
    <v>https://www.bing.com/search?q=tagum+city&amp;form=skydnc</v>
    <v>Learn more on Bing</v>
  </rv>
  <rv s="1">
    <fb>125.80777999999999</fb>
    <v>9</v>
  </rv>
  <rv s="1">
    <fb>296202</fb>
    <v>8</v>
  </rv>
  <rv s="8">
    <v>#VALUE!</v>
    <v>en-US</v>
    <v>05ed9b6f-1378-da68-94fd-8d26acff4f8a</v>
    <v>536870912</v>
    <v>1</v>
    <v>118</v>
    <v>20</v>
    <v>Tagum</v>
    <v>4</v>
    <v>5</v>
    <v>Map</v>
    <v>6</v>
    <v>7</v>
    <v>486</v>
    <v>487</v>
    <v>52</v>
    <v>Tagum, officially the City of Tagum, is a component city and capital of the Davao del Norte, Philippines. According to the 2020 census, it has a population of 296,202 people making it the most populous component city in Mindanao and in Davao del ...</v>
    <v>488</v>
    <v>489</v>
    <v>491</v>
    <v>492</v>
    <v>493</v>
    <v>Tagum</v>
    <v>494</v>
    <v>135</v>
    <v>Tagum</v>
    <v>mdp/vdpid/7918682258767085569</v>
  </rv>
  <rv s="1">
    <fb>201.18</fb>
    <v>8</v>
  </rv>
  <rv s="2">
    <v>43</v>
    <v>6</v>
    <v>119</v>
    <v>7</v>
    <v>0</v>
    <v>Image of Talisay, Negros Occidental</v>
  </rv>
  <rv s="1">
    <fb>10.733333333333</fb>
    <v>9</v>
  </rv>
  <rv s="0">
    <v>805306368</v>
    <v>Nilo Jesus Antonio Neil E. Lizares III (Mayor)</v>
    <v>8c06ffaa-aa0d-c747-1599-261782c0e8a5</v>
    <v>en-US</v>
    <v>Generic</v>
  </rv>
  <rv s="3">
    <v>50</v>
  </rv>
  <rv s="4">
    <v>https://www.bing.com/search?q=talisay+philippines&amp;form=skydnc</v>
    <v>Learn more on Bing</v>
  </rv>
  <rv s="1">
    <fb>122.96666666666999</fb>
    <v>9</v>
  </rv>
  <rv s="1">
    <fb>108909</fb>
    <v>8</v>
  </rv>
  <rv s="5">
    <v>#VALUE!</v>
    <v>en-US</v>
    <v>00df6e89-3a5d-87d8-7e78-80973916be06</v>
    <v>536870912</v>
    <v>1</v>
    <v>120</v>
    <v>2</v>
    <v>Talisay, Negros Occidental</v>
    <v>4</v>
    <v>5</v>
    <v>Map</v>
    <v>6</v>
    <v>7</v>
    <v>99</v>
    <v>496</v>
    <v>52</v>
    <v>Talisay, officially the City of Talisay, is a 4th class component city in the province of Negros Occidental, Philippines. According to the 2020 census, it has a population of 108,909 people. It is part of the metropolitan area called Metro ...</v>
    <v>497</v>
    <v>498</v>
    <v>500</v>
    <v>501</v>
    <v>502</v>
    <v>Talisay, Negros Occidental</v>
    <v>503</v>
    <v>Talisay, Negros Occidental</v>
    <v>mdp/vdpid/7911307044173381633</v>
  </rv>
  <rv s="1">
    <fb>3053.6</fb>
    <v>8</v>
  </rv>
  <rv s="0">
    <v>536870912</v>
    <v>Tarlac City</v>
    <v>181b23df-f7e9-05d7-cd63-f2389a778b10</v>
    <v>en-US</v>
    <v>Map</v>
  </rv>
  <rv s="2">
    <v>44</v>
    <v>6</v>
    <v>121</v>
    <v>7</v>
    <v>0</v>
    <v>Image of Tarlac</v>
  </rv>
  <rv s="0">
    <v>805306368</v>
    <v>Susan Yap (Governor)</v>
    <v>6295bb7f-716d-28e5-4fef-e58db9f72b67</v>
    <v>en-US</v>
    <v>Generic</v>
  </rv>
  <rv s="3">
    <v>51</v>
  </rv>
  <rv s="4">
    <v>https://www.bing.com/search?q=tarlac&amp;form=skydnc</v>
    <v>Learn more on Bing</v>
  </rv>
  <rv s="1">
    <fb>1503456</fb>
    <v>8</v>
  </rv>
  <rv s="9">
    <v>#VALUE!</v>
    <v>en-US</v>
    <v>7d56b130-da68-5615-69f0-dbad4c246cf7</v>
    <v>536870912</v>
    <v>1</v>
    <v>123</v>
    <v>24</v>
    <v>Tarlac</v>
    <v>4</v>
    <v>5</v>
    <v>Map</v>
    <v>6</v>
    <v>7</v>
    <v>PH-TAR</v>
    <v>505</v>
    <v>506</v>
    <v>52</v>
    <v>Tarlac, officially the Province of Tarlac, is a landlocked province in the Philippines located in the Central Luzon region. Its capital is the city of Tarlac, which is the most populous in the province. It is bounded on the north by the province ...</v>
    <v>507</v>
    <v>506</v>
    <v>509</v>
    <v>510</v>
    <v>Tarlac</v>
    <v>511</v>
    <v>88</v>
    <v>Tarlac</v>
    <v>mdp/vdpid/-7996910222</v>
  </rv>
  <rv s="1">
    <fb>47.02</fb>
    <v>8</v>
  </rv>
  <rv s="2">
    <v>48</v>
    <v>6</v>
    <v>124</v>
    <v>7</v>
    <v>0</v>
    <v>Image of Valenzuela, Metro Manila</v>
  </rv>
  <rv s="1">
    <fb>14.7</fb>
    <v>9</v>
  </rv>
  <rv s="0">
    <v>805306368</v>
    <v>Wes Gatchalian (Mayor)</v>
    <v>aef11db3-b31c-39ef-5a0d-226e71471135</v>
    <v>en-US</v>
    <v>Generic</v>
  </rv>
  <rv s="3">
    <v>52</v>
  </rv>
  <rv s="4">
    <v>https://www.bing.com/search?q=valenzuela+philippines&amp;form=skydnc</v>
    <v>Learn more on Bing</v>
  </rv>
  <rv s="1">
    <fb>714978</fb>
    <v>8</v>
  </rv>
  <rv s="15">
    <v>#VALUE!</v>
    <v>en-US</v>
    <v>4165515f-4aa6-4852-e2e8-6516cbd68027</v>
    <v>536870912</v>
    <v>1</v>
    <v>125</v>
    <v>126</v>
    <v>Valenzuela, Metro Manila</v>
    <v>4</v>
    <v>5</v>
    <v>Map</v>
    <v>6</v>
    <v>7</v>
    <v>69</v>
    <v>513</v>
    <v>52</v>
    <v>Valenzuela, officially the City of Valenzuela, is a 1st class highly urbanized city in the National Capital Region of the Philippines. According to the 2020 census, it has a population of 714,978 people.</v>
    <v>514</v>
    <v>515</v>
    <v>517</v>
    <v>518</v>
    <v>346</v>
    <v>Valenzuela, Metro Manila</v>
    <v>519</v>
    <v>Valenzuela, Metro Manila</v>
    <v>mdp/vdpid/7897977289890070530</v>
  </rv>
</rvData>
</file>

<file path=xl/richData/rdrichvaluestructure.xml><?xml version="1.0" encoding="utf-8"?>
<rvStructures xmlns="http://schemas.microsoft.com/office/spreadsheetml/2017/richdata" count="1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11">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spbArrays>
  <spbData count="127">
    <spb s="0">
      <v xml:space="preserve">Wikipedia	</v>
      <v xml:space="preserve">CC BY-SA 3.0	</v>
      <v xml:space="preserve">https://en.wikipedia.org/wiki/Santa_Rosa,_Laguna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9">
      <v>10</v>
      <v>10</v>
      <v>10</v>
      <v>10</v>
      <v>10</v>
      <v>11</v>
      <v>10</v>
      <v>10</v>
      <v>10</v>
    </spb>
    <spb s="2">
      <v>1</v>
      <v>Name</v>
      <v>LearnMoreOnLink</v>
    </spb>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0">
      <v>14</v>
      <v>15</v>
      <v>15</v>
      <v>15</v>
      <v>15</v>
      <v>15</v>
      <v>15</v>
      <v>15</v>
      <v>15</v>
      <v>15</v>
    </spb>
    <spb s="2">
      <v>2</v>
      <v>Name</v>
      <v>LearnMoreOnLink</v>
    </spb>
    <spb s="0">
      <v xml:space="preserve">Wikipedia	</v>
      <v xml:space="preserve">CC BY-SA 3.0	</v>
      <v xml:space="preserve">https://en.wikipedia.org/wiki/Tuguegarao	</v>
      <v xml:space="preserve">https://creativecommons.org/licenses/by-sa/3.0	</v>
    </spb>
    <spb s="1">
      <v>18</v>
      <v>18</v>
      <v>18</v>
      <v>18</v>
      <v>18</v>
      <v>18</v>
      <v>18</v>
      <v>18</v>
      <v>18</v>
    </spb>
    <spb s="2">
      <v>3</v>
      <v>Name</v>
      <v>LearnMoreOnLink</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9">
      <v>21</v>
      <v>21</v>
      <v>21</v>
      <v>21</v>
      <v>21</v>
      <v>22</v>
      <v>21</v>
      <v>21</v>
      <v>21</v>
    </spb>
    <spb s="2">
      <v>4</v>
      <v>Name</v>
      <v>LearnMoreOnLink</v>
    </spb>
    <spb s="0">
      <v xml:space="preserve">Wikipedia	</v>
      <v xml:space="preserve">CC BY-SA 3.0	</v>
      <v xml:space="preserve">https://en.wikipedia.org/wiki/Bacolod	</v>
      <v xml:space="preserve">https://creativecommons.org/licenses/by-sa/3.0	</v>
    </spb>
    <spb s="1">
      <v>25</v>
      <v>25</v>
      <v>25</v>
      <v>25</v>
      <v>25</v>
      <v>25</v>
      <v>25</v>
      <v>25</v>
      <v>25</v>
    </spb>
    <spb s="0">
      <v xml:space="preserve">Wikipedia	</v>
      <v xml:space="preserve">CC BY-SA 3.0	</v>
      <v xml:space="preserve">https://en.wikipedia.org/wiki/Angeles_City	</v>
      <v xml:space="preserve">https://creativecommons.org/licenses/by-sa/3.0	</v>
    </spb>
    <spb s="1">
      <v>27</v>
      <v>27</v>
      <v>27</v>
      <v>27</v>
      <v>27</v>
      <v>27</v>
      <v>27</v>
      <v>27</v>
      <v>27</v>
    </spb>
    <spb s="0">
      <v xml:space="preserve">Wikipedia	</v>
      <v xml:space="preserve">CC BY-SA 3.0	</v>
      <v xml:space="preserve">https://en.wikipedia.org/wiki/San_Pablo,_Laguna	</v>
      <v xml:space="preserve">https://creativecommons.org/licenses/by-sa/3.0	</v>
    </spb>
    <spb s="1">
      <v>29</v>
      <v>29</v>
      <v>29</v>
      <v>29</v>
      <v>29</v>
      <v>29</v>
      <v>29</v>
      <v>29</v>
      <v>29</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9">
      <v>31</v>
      <v>31</v>
      <v>31</v>
      <v>31</v>
      <v>31</v>
      <v>32</v>
      <v>31</v>
      <v>31</v>
      <v>31</v>
    </spb>
    <spb s="0">
      <v xml:space="preserve">Wikipedia	</v>
      <v xml:space="preserve">CC BY-SA 3.0	</v>
      <v xml:space="preserve">https://en.wikipedia.org/wiki/Butuan	</v>
      <v xml:space="preserve">https://creativecommons.org/licenses/by-sa/3.0	</v>
    </spb>
    <spb s="1">
      <v>34</v>
      <v>34</v>
      <v>34</v>
      <v>34</v>
      <v>34</v>
      <v>34</v>
      <v>34</v>
      <v>34</v>
      <v>34</v>
    </spb>
    <spb s="0">
      <v xml:space="preserve">Wikipedia	</v>
      <v xml:space="preserve">CC BY-SA 3.0	</v>
      <v xml:space="preserve">https://en.wikipedia.org/wiki/Baguio	</v>
      <v xml:space="preserve">https://creativecommons.org/licenses/by-sa/3.0	</v>
    </spb>
    <spb s="1">
      <v>36</v>
      <v>36</v>
      <v>36</v>
      <v>36</v>
      <v>36</v>
      <v>36</v>
      <v>36</v>
      <v>36</v>
      <v>36</v>
    </spb>
    <spb s="0">
      <v xml:space="preserve">Wikipedia	</v>
      <v xml:space="preserve">CC BY-SA 3.0	</v>
      <v xml:space="preserve">https://en.wikipedia.org/wiki/Baliwag	</v>
      <v xml:space="preserve">https://creativecommons.org/licenses/by-sa/3.0	</v>
    </spb>
    <spb s="1">
      <v>38</v>
      <v>38</v>
      <v>38</v>
      <v>38</v>
      <v>38</v>
      <v>38</v>
      <v>38</v>
      <v>38</v>
      <v>38</v>
    </spb>
    <spb s="0">
      <v xml:space="preserve">Wikipedia	</v>
      <v xml:space="preserve">CC BY-SA 3.0	</v>
      <v xml:space="preserve">https://en.wikipedia.org/wiki/Jose_Abad_Santos,_Davao_Occidental	</v>
      <v xml:space="preserve">https://creativecommons.org/licenses/by-sa/3.0	</v>
    </spb>
    <spb s="1">
      <v>40</v>
      <v>40</v>
      <v>40</v>
      <v>40</v>
      <v>40</v>
      <v>40</v>
      <v>40</v>
      <v>40</v>
      <v>40</v>
    </spb>
    <spb s="0">
      <v xml:space="preserve">Wikipedia	</v>
      <v xml:space="preserve">CC BY-SA 3.0	</v>
      <v xml:space="preserve">https://en.wikipedia.org/wiki/Taytay,_Rizal	</v>
      <v xml:space="preserve">https://creativecommons.org/licenses/by-sa/3.0	</v>
    </spb>
    <spb s="11">
      <v>42</v>
      <v>42</v>
      <v>42</v>
      <v>42</v>
      <v>42</v>
      <v>42</v>
      <v>42</v>
      <v>42</v>
    </spb>
    <spb s="2">
      <v>5</v>
      <v>Name</v>
      <v>LearnMoreOnLink</v>
    </spb>
    <spb s="0">
      <v xml:space="preserve">Wikipedia	</v>
      <v xml:space="preserve">CC BY-SA 3.0	</v>
      <v xml:space="preserve">https://en.wikipedia.org/wiki/Lipa,_Batangas	</v>
      <v xml:space="preserve">https://creativecommons.org/licenses/by-sa/3.0	</v>
    </spb>
    <spb s="1">
      <v>45</v>
      <v>45</v>
      <v>45</v>
      <v>45</v>
      <v>45</v>
      <v>45</v>
      <v>45</v>
      <v>45</v>
      <v>45</v>
    </spb>
    <spb s="0">
      <v xml:space="preserve">Wikipedia	</v>
      <v xml:space="preserve">CC BY-SA 3.0	</v>
      <v xml:space="preserve">https://en.wikipedia.org/wiki/Cabanatuan	</v>
      <v xml:space="preserve">https://creativecommons.org/licenses/by-sa/3.0	</v>
    </spb>
    <spb s="1">
      <v>47</v>
      <v>47</v>
      <v>47</v>
      <v>47</v>
      <v>47</v>
      <v>47</v>
      <v>47</v>
      <v>47</v>
      <v>47</v>
    </spb>
    <spb s="0">
      <v xml:space="preserve">Wikipedia	</v>
      <v xml:space="preserve">CC BY-SA 3.0	</v>
      <v xml:space="preserve">https://en.wikipedia.org/wiki/Mandaue	</v>
      <v xml:space="preserve">https://creativecommons.org/licenses/by-sa/3.0	</v>
    </spb>
    <spb s="1">
      <v>49</v>
      <v>49</v>
      <v>49</v>
      <v>49</v>
      <v>49</v>
      <v>49</v>
      <v>49</v>
      <v>49</v>
      <v>49</v>
    </spb>
    <spb s="0">
      <v xml:space="preserve">Wikipedia	</v>
      <v xml:space="preserve">CC BY-SA 3.0	</v>
      <v xml:space="preserve">https://en.wikipedia.org/wiki/Cagayan_de_Oro	</v>
      <v xml:space="preserve">https://creativecommons.org/licenses/by-sa/3.0	</v>
    </spb>
    <spb s="1">
      <v>51</v>
      <v>51</v>
      <v>51</v>
      <v>51</v>
      <v>51</v>
      <v>51</v>
      <v>51</v>
      <v>51</v>
      <v>51</v>
    </spb>
    <spb s="0">
      <v xml:space="preserve">Wikipedia	</v>
      <v xml:space="preserve">CC BY-SA 3.0	</v>
      <v xml:space="preserve">https://en.wikipedia.org/wiki/Calasiao	</v>
      <v xml:space="preserve">https://creativecommons.org/licenses/by-sa/3.0	</v>
    </spb>
    <spb s="1">
      <v>53</v>
      <v>53</v>
      <v>53</v>
      <v>53</v>
      <v>53</v>
      <v>53</v>
      <v>53</v>
      <v>53</v>
      <v>53</v>
    </spb>
    <spb s="0">
      <v xml:space="preserve">Wikipedia	</v>
      <v xml:space="preserve">CC BY-SA 3.0	</v>
      <v xml:space="preserve">https://en.wikipedia.org/wiki/Carmona,_Cavite	</v>
      <v xml:space="preserve">https://creativecommons.org/licenses/by-sa/3.0	</v>
    </spb>
    <spb s="1">
      <v>55</v>
      <v>55</v>
      <v>55</v>
      <v>55</v>
      <v>55</v>
      <v>55</v>
      <v>55</v>
      <v>55</v>
      <v>55</v>
    </spb>
    <spb s="0">
      <v xml:space="preserve">Wikipedia	</v>
      <v xml:space="preserve">CC BY-SA 3.0	</v>
      <v xml:space="preserve">https://en.wikipedia.org/wiki/Dumaguete	</v>
      <v xml:space="preserve">https://creativecommons.org/licenses/by-sa/3.0	</v>
    </spb>
    <spb s="1">
      <v>57</v>
      <v>57</v>
      <v>57</v>
      <v>57</v>
      <v>57</v>
      <v>57</v>
      <v>57</v>
      <v>57</v>
      <v>57</v>
    </spb>
    <spb s="0">
      <v xml:space="preserve">Wikipedia	</v>
      <v xml:space="preserve">CC BY-SA 3.0	</v>
      <v xml:space="preserve">https://en.wikipedia.org/wiki/Subic,_Zambales	</v>
      <v xml:space="preserve">https://creativecommons.org/licenses/by-sa/3.0	</v>
    </spb>
    <spb s="1">
      <v>59</v>
      <v>59</v>
      <v>59</v>
      <v>59</v>
      <v>59</v>
      <v>59</v>
      <v>59</v>
      <v>59</v>
      <v>59</v>
    </spb>
    <spb s="0">
      <v xml:space="preserve">Wikipedia	</v>
      <v xml:space="preserve">CC BY-SA 3.0	</v>
      <v xml:space="preserve">https://en.wikipedia.org/wiki/Cordon,_Isabela	</v>
      <v xml:space="preserve">https://creativecommons.org/licenses/by-sa/3.0	</v>
    </spb>
    <spb s="1">
      <v>61</v>
      <v>61</v>
      <v>61</v>
      <v>61</v>
      <v>61</v>
      <v>61</v>
      <v>61</v>
      <v>61</v>
      <v>61</v>
    </spb>
    <spb s="0">
      <v xml:space="preserve">Wikipedia	</v>
      <v xml:space="preserve">CC BY-SA 3.0	</v>
      <v xml:space="preserve">https://en.wikipedia.org/wiki/Imus	</v>
      <v xml:space="preserve">https://creativecommons.org/licenses/by-sa/3.0	</v>
    </spb>
    <spb s="1">
      <v>63</v>
      <v>63</v>
      <v>63</v>
      <v>63</v>
      <v>63</v>
      <v>63</v>
      <v>63</v>
      <v>63</v>
      <v>63</v>
    </spb>
    <spb s="0">
      <v xml:space="preserve">Wikipedia	</v>
      <v xml:space="preserve">CC BY-SA 3.0	</v>
      <v xml:space="preserve">https://en.wikipedia.org/wiki/Ozamiz	</v>
      <v xml:space="preserve">https://creativecommons.org/licenses/by-sa/3.0	</v>
    </spb>
    <spb s="1">
      <v>65</v>
      <v>65</v>
      <v>65</v>
      <v>65</v>
      <v>65</v>
      <v>65</v>
      <v>65</v>
      <v>65</v>
      <v>65</v>
    </spb>
    <spb s="0">
      <v xml:space="preserve">Wikipedia	</v>
      <v xml:space="preserve">CC BY-SA 3.0	</v>
      <v xml:space="preserve">https://en.wikipedia.org/wiki/General_Santos	</v>
      <v xml:space="preserve">https://creativecommons.org/licenses/by-sa/3.0	</v>
    </spb>
    <spb s="1">
      <v>67</v>
      <v>67</v>
      <v>67</v>
      <v>67</v>
      <v>67</v>
      <v>67</v>
      <v>67</v>
      <v>67</v>
      <v>67</v>
    </spb>
    <spb s="0">
      <v xml:space="preserve">Wikipedia	</v>
      <v xml:space="preserve">CC BY-SA 3.0	</v>
      <v xml:space="preserve">https://en.wikipedia.org/wiki/Iligan	</v>
      <v xml:space="preserve">https://creativecommons.org/licenses/by-sa/3.0	</v>
    </spb>
    <spb s="1">
      <v>69</v>
      <v>69</v>
      <v>69</v>
      <v>69</v>
      <v>69</v>
      <v>69</v>
      <v>69</v>
      <v>69</v>
      <v>69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9">
      <v>71</v>
      <v>71</v>
      <v>71</v>
      <v>71</v>
      <v>71</v>
      <v>72</v>
      <v>71</v>
      <v>71</v>
      <v>71</v>
    </spb>
    <spb s="0">
      <v xml:space="preserve">Wikipedia	</v>
      <v xml:space="preserve">CC BY-SA 3.0	</v>
      <v xml:space="preserve">https://en.wikipedia.org/wiki/Kidapawan	</v>
      <v xml:space="preserve">https://creativecommons.org/licenses/by-sa/3.0	</v>
    </spb>
    <spb s="1">
      <v>74</v>
      <v>74</v>
      <v>74</v>
      <v>74</v>
      <v>74</v>
      <v>74</v>
      <v>74</v>
      <v>74</v>
      <v>74</v>
    </spb>
    <spb s="0">
      <v xml:space="preserve">Wikipedia	</v>
      <v xml:space="preserve">CC BY-SA 3.0	</v>
      <v xml:space="preserve">https://en.wikipedia.org/wiki/Laoag	</v>
      <v xml:space="preserve">https://creativecommons.org/licenses/by-sa/3.0	</v>
    </spb>
    <spb s="1">
      <v>76</v>
      <v>76</v>
      <v>76</v>
      <v>76</v>
      <v>76</v>
      <v>76</v>
      <v>76</v>
      <v>76</v>
      <v>76</v>
    </spb>
    <spb s="0">
      <v xml:space="preserve">Wikipedia	</v>
      <v xml:space="preserve">CC BY-SA 3.0	</v>
      <v xml:space="preserve">https://en.wikipedia.org/wiki/Las_Pi%C3%B1as	</v>
      <v xml:space="preserve">https://creativecommons.org/licenses/by-sa/3.0	</v>
    </spb>
    <spb s="12">
      <v>78</v>
      <v>78</v>
      <v>78</v>
      <v>78</v>
      <v>78</v>
      <v>78</v>
      <v>78</v>
      <v>78</v>
      <v>78</v>
    </spb>
    <spb s="2">
      <v>6</v>
      <v>Name</v>
      <v>LearnMoreOnLink</v>
    </spb>
    <spb s="0">
      <v xml:space="preserve">Wikipedia	</v>
      <v xml:space="preserve">CC BY-SA 3.0	</v>
      <v xml:space="preserve">https://en.wikipedia.org/wiki/Makati	</v>
      <v xml:space="preserve">https://creativecommons.org/licenses/by-sa/3.0	</v>
    </spb>
    <spb s="12">
      <v>81</v>
      <v>81</v>
      <v>81</v>
      <v>81</v>
      <v>81</v>
      <v>81</v>
      <v>81</v>
      <v>81</v>
      <v>81</v>
    </spb>
    <spb s="0">
      <v xml:space="preserve">Wikipedia	</v>
      <v xml:space="preserve">CC BY-SA 3.0	</v>
      <v xml:space="preserve">https://en.wikipedia.org/wiki/Malolos	</v>
      <v xml:space="preserve">https://creativecommons.org/licenses/by-sa/3.0	</v>
    </spb>
    <spb s="1">
      <v>83</v>
      <v>83</v>
      <v>83</v>
      <v>83</v>
      <v>83</v>
      <v>83</v>
      <v>83</v>
      <v>83</v>
      <v>83</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0">
      <v>85</v>
      <v>85</v>
      <v>85</v>
      <v>85</v>
      <v>86</v>
      <v>85</v>
      <v>85</v>
      <v>85</v>
      <v>85</v>
      <v>85</v>
    </spb>
    <spb s="2">
      <v>7</v>
      <v>Name</v>
      <v>LearnMoreOnLink</v>
    </spb>
    <spb s="0">
      <v xml:space="preserve">Wikipedia	</v>
      <v xml:space="preserve">CC BY-SA 3.0	</v>
      <v xml:space="preserve">https://en.wikipedia.org/wiki/Urdaneta,_Pangasinan	</v>
      <v xml:space="preserve">https://creativecommons.org/licenses/by-sa/3.0	</v>
    </spb>
    <spb s="1">
      <v>89</v>
      <v>89</v>
      <v>89</v>
      <v>89</v>
      <v>89</v>
      <v>89</v>
      <v>89</v>
      <v>89</v>
      <v>89</v>
    </spb>
    <spb s="0">
      <v xml:space="preserve">Wikipedia	</v>
      <v xml:space="preserve">CC BY-SA 3.0	</v>
      <v xml:space="preserve">https://en.wikipedia.org/wiki/Marilao	</v>
      <v xml:space="preserve">https://creativecommons.org/licenses/by-sa/3.0	</v>
    </spb>
    <spb s="1">
      <v>91</v>
      <v>91</v>
      <v>91</v>
      <v>91</v>
      <v>91</v>
      <v>91</v>
      <v>91</v>
      <v>91</v>
      <v>91</v>
    </spb>
    <spb s="0">
      <v xml:space="preserve">Wikipedia	</v>
      <v xml:space="preserve">CC BY-SA 3.0	</v>
      <v xml:space="preserve">https://en.wikipedia.org/wiki/Orani	</v>
      <v xml:space="preserve">https://creativecommons.org/licenses/by-sa/3.0	</v>
    </spb>
    <spb s="1">
      <v>93</v>
      <v>93</v>
      <v>93</v>
      <v>93</v>
      <v>93</v>
      <v>93</v>
      <v>93</v>
      <v>93</v>
      <v>93</v>
    </spb>
    <spb s="0">
      <v xml:space="preserve">Wikipedia	</v>
      <v xml:space="preserve">CC BY-SA 3.0	</v>
      <v xml:space="preserve">https://en.wikipedia.org/wiki/Ormoc	</v>
      <v xml:space="preserve">https://creativecommons.org/licenses/by-sa/3.0	</v>
    </spb>
    <spb s="1">
      <v>95</v>
      <v>95</v>
      <v>95</v>
      <v>95</v>
      <v>95</v>
      <v>95</v>
      <v>95</v>
      <v>95</v>
      <v>95</v>
    </spb>
    <spb s="0">
      <v xml:space="preserve">Wikipedia	</v>
      <v xml:space="preserve">CC BY-SA 3.0	</v>
      <v xml:space="preserve">https://en.wikipedia.org/wiki/Paco,_Manila	</v>
      <v xml:space="preserve">https://creativecommons.org/licenses/by-sa/3.0	</v>
    </spb>
    <spb s="13">
      <v>97</v>
      <v>97</v>
      <v>97</v>
      <v>97</v>
      <v>97</v>
      <v>97</v>
      <v>97</v>
      <v>97</v>
      <v>97</v>
    </spb>
    <spb s="2">
      <v>8</v>
      <v>Name</v>
      <v>LearnMoreOnLink</v>
    </spb>
    <spb s="14">
      <v>2020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9">
      <v>101</v>
      <v>101</v>
      <v>101</v>
      <v>101</v>
      <v>101</v>
      <v>102</v>
      <v>101</v>
      <v>101</v>
      <v>101</v>
    </spb>
    <spb s="0">
      <v xml:space="preserve">Wikipedia	</v>
      <v xml:space="preserve">CC BY-SA 3.0	</v>
      <v xml:space="preserve">https://en.wikipedia.org/wiki/Zamboanga_City	</v>
      <v xml:space="preserve">https://creativecommons.org/licenses/by-sa/3.0	</v>
    </spb>
    <spb s="11">
      <v>104</v>
      <v>104</v>
      <v>104</v>
      <v>104</v>
      <v>104</v>
      <v>104</v>
      <v>104</v>
      <v>104</v>
    </spb>
    <spb s="2">
      <v>9</v>
      <v>Name</v>
      <v>LearnMoreOnLink</v>
    </spb>
    <spb s="0">
      <v xml:space="preserve">Wikipedia	</v>
      <v xml:space="preserve">CC BY-SA 3.0	</v>
      <v xml:space="preserve">https://en.wikipedia.org/wiki/Pili,_Camarines_Sur	</v>
      <v xml:space="preserve">https://creativecommons.org/licenses/by-sa/3.0	</v>
    </spb>
    <spb s="1">
      <v>107</v>
      <v>107</v>
      <v>107</v>
      <v>107</v>
      <v>107</v>
      <v>107</v>
      <v>107</v>
      <v>107</v>
      <v>107</v>
    </spb>
    <spb s="0">
      <v xml:space="preserve">Wikipedia	</v>
      <v xml:space="preserve">CC BY-SA 3.0	</v>
      <v xml:space="preserve">https://en.wikipedia.org/wiki/Quezon_City	</v>
      <v xml:space="preserve">https://creativecommons.org/licenses/by-sa/3.0	</v>
    </spb>
    <spb s="12">
      <v>109</v>
      <v>109</v>
      <v>109</v>
      <v>109</v>
      <v>109</v>
      <v>109</v>
      <v>109</v>
      <v>109</v>
      <v>109</v>
    </spb>
    <spb s="0">
      <v xml:space="preserve">Wikipedia	</v>
      <v xml:space="preserve">CC BY-SA 3.0	</v>
      <v xml:space="preserve">https://en.wikipedia.org/wiki/Roxas,_Palawan	</v>
      <v xml:space="preserve">https://creativecommons.org/licenses/by-sa/3.0	</v>
    </spb>
    <spb s="1">
      <v>111</v>
      <v>111</v>
      <v>111</v>
      <v>111</v>
      <v>111</v>
      <v>111</v>
      <v>111</v>
      <v>111</v>
      <v>111</v>
    </spb>
    <spb s="0">
      <v xml:space="preserve">Wikipedia	</v>
      <v xml:space="preserve">CC BY-SA 3.0	</v>
      <v xml:space="preserve">https://en.wikipedia.org/wiki/Tacloban	</v>
      <v xml:space="preserve">https://creativecommons.org/licenses/by-sa/3.0	</v>
    </spb>
    <spb s="10">
      <v>113</v>
      <v>113</v>
      <v>113</v>
      <v>113</v>
      <v>113</v>
      <v>113</v>
      <v>113</v>
      <v>113</v>
      <v>113</v>
      <v>113</v>
    </spb>
    <spb s="0">
      <v xml:space="preserve">Wikipedia	</v>
      <v xml:space="preserve">CC BY-SA 3.0	</v>
      <v xml:space="preserve">https://en.wikipedia.org/wiki/Tagbilaran	</v>
      <v xml:space="preserve">https://creativecommons.org/licenses/by-sa/3.0	</v>
    </spb>
    <spb s="1">
      <v>115</v>
      <v>115</v>
      <v>115</v>
      <v>115</v>
      <v>115</v>
      <v>115</v>
      <v>115</v>
      <v>115</v>
      <v>115</v>
    </spb>
    <spb s="0">
      <v xml:space="preserve">Wikipedia	</v>
      <v xml:space="preserve">CC BY-SA 3.0	</v>
      <v xml:space="preserve">https://en.wikipedia.org/wiki/Tagum	</v>
      <v xml:space="preserve">https://creativecommons.org/licenses/by-sa/3.0	</v>
    </spb>
    <spb s="1">
      <v>117</v>
      <v>117</v>
      <v>117</v>
      <v>117</v>
      <v>117</v>
      <v>117</v>
      <v>117</v>
      <v>117</v>
      <v>117</v>
    </spb>
    <spb s="0">
      <v xml:space="preserve">Wikipedia	</v>
      <v xml:space="preserve">CC BY-SA 3.0	</v>
      <v xml:space="preserve">https://en.wikipedia.org/wiki/Talisay,_Negros_Occidental	</v>
      <v xml:space="preserve">https://creativecommons.org/licenses/by-sa/3.0	</v>
    </spb>
    <spb s="1">
      <v>119</v>
      <v>119</v>
      <v>119</v>
      <v>119</v>
      <v>119</v>
      <v>119</v>
      <v>119</v>
      <v>119</v>
      <v>119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9">
      <v>121</v>
      <v>121</v>
      <v>121</v>
      <v>121</v>
      <v>121</v>
      <v>122</v>
      <v>121</v>
      <v>121</v>
      <v>121</v>
    </spb>
    <spb s="0">
      <v xml:space="preserve">Wikipedia	</v>
      <v xml:space="preserve">CC BY-SA 3.0	</v>
      <v xml:space="preserve">https://en.wikipedia.org/wiki/Valenzuela,_Metro_Manila	</v>
      <v xml:space="preserve">https://creativecommons.org/licenses/by-sa/3.0	</v>
    </spb>
    <spb s="12">
      <v>124</v>
      <v>124</v>
      <v>124</v>
      <v>124</v>
      <v>124</v>
      <v>124</v>
      <v>124</v>
      <v>124</v>
      <v>124</v>
    </spb>
    <spb s="2">
      <v>10</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93" totalsRowCount="1" headerRowDxfId="94" dataDxfId="93" totalsRowDxfId="92">
  <autoFilter ref="A2:P92" xr:uid="{00000000-0009-0000-0100-000001000000}">
    <filterColumn colId="1">
      <filters>
        <filter val="Beyond"/>
      </filters>
    </filterColumn>
  </autoFilter>
  <tableColumns count="16">
    <tableColumn id="5" xr3:uid="{35632390-191F-47ED-9AFA-A8BD8B78A805}" name="No." dataDxfId="31" totalsRowDxfId="30"/>
    <tableColumn id="1" xr3:uid="{89D04C85-4E5C-4C58-8F71-058D6AD74F52}" name="Category" totalsRowLabel="Total" dataDxfId="29" totalsRowDxfId="28"/>
    <tableColumn id="2" xr3:uid="{214B914C-EAC9-45FF-80ED-088578B3B164}" name="Coverage" dataDxfId="27" totalsRowDxfId="26"/>
    <tableColumn id="3" xr3:uid="{0184FD89-45AB-4156-BC55-5B1F555381A2}" name="Subject" dataDxfId="25" totalsRowDxfId="24"/>
    <tableColumn id="4" xr3:uid="{157BD70D-0C04-43CD-8696-1661D8A1603F}" name="Check Item" dataDxfId="23" totalsRowDxfId="22"/>
    <tableColumn id="17" xr3:uid="{C77EC909-0847-4AB3-8D38-5DB27AE013CD}" name="Person Accountable" dataDxfId="21" totalsRowDxfId="20"/>
    <tableColumn id="12" xr3:uid="{0DCBC70A-EC5C-42DE-A191-976C1A99D770}" name="Checker" dataDxfId="19" totalsRowDxfId="18"/>
    <tableColumn id="6" xr3:uid="{00BC1C14-B6FB-445D-A9E6-472E95DAFEAD}" name="Judgment" dataDxfId="17" totalsRowDxfId="16"/>
    <tableColumn id="14" xr3:uid="{3BDF04F1-CAF9-45B7-9360-56420C2A7939}" name="Findings" dataDxfId="15" totalsRowDxfId="14"/>
    <tableColumn id="15" xr3:uid="{131973F5-3DDB-4D3B-A27B-4EEFDDEC7298}" name="BOM Task" dataDxfId="13" totalsRowDxfId="12"/>
    <tableColumn id="13" xr3:uid="{541C2333-0163-4755-86A7-41EE29BADE12}" name="Escalation" dataDxfId="11" totalsRowDxfId="10"/>
    <tableColumn id="8" xr3:uid="{123427CA-6782-4AEB-B9BE-024490208A81}" name="Action Plan" dataDxfId="9" totalsRowDxfId="8"/>
    <tableColumn id="9" xr3:uid="{76A15D45-37DA-4122-8CDD-7DECF67BEF61}" name="Commitment Date" dataDxfId="7" totalsRowDxfId="6"/>
    <tableColumn id="7" xr3:uid="{6F67FE43-C7FB-4892-941B-4F43C602FB4E}" name="Count NA" dataDxfId="5" totalsRowDxfId="4"/>
    <tableColumn id="10" xr3:uid="{80B71C22-7111-4F8B-AC4E-17B2F2A35121}" name="Audit Result Part 1" dataDxfId="3" totalsRowDxfId="2"/>
    <tableColumn id="11" xr3:uid="{101C6480-E24F-4C9D-B652-7B68596DCA50}" name="Audit Result Part 2" dataDxfId="1" totalsRowDxfId="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G93" totalsRowCount="1" headerRowDxfId="91" dataDxfId="90" totalsRowDxfId="89">
  <autoFilter ref="A2:G92" xr:uid="{00000000-0009-0000-0100-000001000000}"/>
  <tableColumns count="7">
    <tableColumn id="5" xr3:uid="{491A35CE-C40C-43E3-B873-FDAE1561C661}" name="No." dataDxfId="88" totalsRowDxfId="87"/>
    <tableColumn id="1" xr3:uid="{7A71C050-3B6A-4C5C-973B-68F285EF0144}" name="Category" totalsRowLabel="Total" dataDxfId="86" totalsRowDxfId="85"/>
    <tableColumn id="2" xr3:uid="{A37A5553-F880-4E32-9146-C0E8C2340E45}" name="Coverage" dataDxfId="84" totalsRowDxfId="83"/>
    <tableColumn id="3" xr3:uid="{7E53B6E6-BD89-4E76-BAAC-6E76C2DFF706}" name="Subject" dataDxfId="82" totalsRowDxfId="81"/>
    <tableColumn id="4" xr3:uid="{ED984305-70E0-4B08-81D8-86F2DF51AD7A}" name="Check Item" dataDxfId="80" totalsRowDxfId="79"/>
    <tableColumn id="11" xr3:uid="{78E0FBFA-26C1-4E71-A709-92C9DC139484}" name="How to Check" dataDxfId="78" totalsRowDxfId="77"/>
    <tableColumn id="6" xr3:uid="{1382ADAF-C2DC-487E-91DB-BAC1181EAF7A}" name="Column1" dataDxfId="76" totalsRowDxfId="75"/>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pageSetUpPr fitToPage="1"/>
  </sheetPr>
  <dimension ref="A1:S102"/>
  <sheetViews>
    <sheetView showGridLines="0" zoomScale="70" zoomScaleNormal="70" zoomScalePageLayoutView="74" workbookViewId="0">
      <pane xSplit="5" ySplit="2" topLeftCell="F3" activePane="bottomRight" state="frozen"/>
      <selection pane="topRight" activeCell="F1" sqref="F1"/>
      <selection pane="bottomLeft" activeCell="A3" sqref="A3"/>
      <selection pane="bottomRight" activeCell="H82" sqref="H82"/>
    </sheetView>
  </sheetViews>
  <sheetFormatPr defaultColWidth="8.88671875" defaultRowHeight="20.399999999999999"/>
  <cols>
    <col min="1" max="1" width="8.6640625" style="56" customWidth="1"/>
    <col min="2" max="2" width="20.88671875" style="57" customWidth="1"/>
    <col min="3" max="3" width="34.109375" style="57" customWidth="1"/>
    <col min="4" max="4" width="21.109375" style="57" customWidth="1"/>
    <col min="5" max="5" width="71" style="57" customWidth="1"/>
    <col min="6" max="6" width="25.5546875" style="83" customWidth="1"/>
    <col min="7" max="7" width="34.5546875" style="83" customWidth="1"/>
    <col min="8" max="8" width="19.109375" customWidth="1"/>
    <col min="9" max="9" width="20.6640625" style="81" bestFit="1" customWidth="1"/>
    <col min="10" max="10" width="48.88671875" style="83" customWidth="1"/>
    <col min="11" max="11" width="50.44140625" style="83" customWidth="1"/>
    <col min="12" max="12" width="23.5546875" customWidth="1"/>
    <col min="13" max="14" width="22.6640625" style="60" customWidth="1"/>
    <col min="15" max="16" width="18.33203125" style="60" hidden="1" customWidth="1"/>
    <col min="17" max="17" width="18.33203125" style="56" hidden="1" customWidth="1"/>
    <col min="18" max="18" width="8.88671875" style="56"/>
    <col min="19" max="19" width="89.109375" style="56" customWidth="1"/>
    <col min="20" max="16384" width="8.88671875" style="56"/>
  </cols>
  <sheetData>
    <row r="1" spans="1:16">
      <c r="E1" s="76"/>
      <c r="H1" s="60"/>
      <c r="I1" s="83"/>
      <c r="K1" s="60"/>
      <c r="L1" s="60"/>
      <c r="N1" s="56"/>
      <c r="O1" s="56"/>
      <c r="P1" s="56"/>
    </row>
    <row r="2" spans="1:16" s="64" customFormat="1" ht="40.799999999999997">
      <c r="A2" s="62" t="s">
        <v>6</v>
      </c>
      <c r="B2" s="63" t="s">
        <v>7</v>
      </c>
      <c r="C2" s="63" t="s">
        <v>20</v>
      </c>
      <c r="D2" s="63" t="s">
        <v>35</v>
      </c>
      <c r="E2" s="63" t="s">
        <v>36</v>
      </c>
      <c r="F2" s="63" t="s">
        <v>373</v>
      </c>
      <c r="G2" s="63" t="s">
        <v>372</v>
      </c>
      <c r="H2" s="62" t="s">
        <v>37</v>
      </c>
      <c r="I2" s="63" t="s">
        <v>364</v>
      </c>
      <c r="J2" s="63" t="s">
        <v>371</v>
      </c>
      <c r="K2" s="63" t="s">
        <v>360</v>
      </c>
      <c r="L2" s="62" t="s">
        <v>38</v>
      </c>
      <c r="M2" s="62" t="s">
        <v>39</v>
      </c>
      <c r="N2" s="62" t="s">
        <v>40</v>
      </c>
      <c r="O2" s="62" t="s">
        <v>41</v>
      </c>
      <c r="P2" s="62" t="s">
        <v>42</v>
      </c>
    </row>
    <row r="3" spans="1:16" s="64" customFormat="1" ht="90.9" hidden="1" customHeight="1">
      <c r="A3" s="62">
        <v>1</v>
      </c>
      <c r="B3" s="63" t="s">
        <v>13</v>
      </c>
      <c r="C3" s="63" t="s">
        <v>21</v>
      </c>
      <c r="D3" s="63" t="s">
        <v>43</v>
      </c>
      <c r="E3" s="77" t="s">
        <v>44</v>
      </c>
      <c r="F3" s="63" t="s">
        <v>376</v>
      </c>
      <c r="G3" s="63" t="s">
        <v>355</v>
      </c>
      <c r="H3" s="62" t="s">
        <v>45</v>
      </c>
      <c r="I3" s="63" t="s">
        <v>374</v>
      </c>
      <c r="J3" s="77" t="s">
        <v>385</v>
      </c>
      <c r="K3" s="63" t="s">
        <v>380</v>
      </c>
      <c r="L3" s="62"/>
      <c r="M3" s="62"/>
      <c r="N3" s="73" t="str">
        <f t="shared" ref="N3:N34" si="0">IF(NOT(H3="N/A"),B3,"N/A")</f>
        <v>Basic</v>
      </c>
      <c r="O3" s="73" t="str">
        <f t="shared" ref="O3:O34" si="1">IF(H3="YES",B3,IF(H3="N/A","N/A","NO"))</f>
        <v>Basic</v>
      </c>
      <c r="P3" s="73" t="str">
        <f t="shared" ref="P3:P34" si="2">IF(H3="YES",C3,IF(H3="N/A","N/A","NO"))</f>
        <v>Facilities</v>
      </c>
    </row>
    <row r="4" spans="1:16" s="64" customFormat="1" ht="90.9" hidden="1" customHeight="1">
      <c r="A4" s="62">
        <v>2</v>
      </c>
      <c r="B4" s="63" t="s">
        <v>13</v>
      </c>
      <c r="C4" s="63" t="s">
        <v>21</v>
      </c>
      <c r="D4" s="63" t="s">
        <v>43</v>
      </c>
      <c r="E4" s="77" t="s">
        <v>46</v>
      </c>
      <c r="F4" s="63" t="s">
        <v>376</v>
      </c>
      <c r="G4" s="63" t="s">
        <v>355</v>
      </c>
      <c r="H4" s="62" t="s">
        <v>45</v>
      </c>
      <c r="I4" s="63" t="s">
        <v>375</v>
      </c>
      <c r="J4" s="77" t="s">
        <v>385</v>
      </c>
      <c r="K4" s="63" t="s">
        <v>380</v>
      </c>
      <c r="L4" s="62"/>
      <c r="M4" s="62"/>
      <c r="N4" s="73" t="str">
        <f t="shared" si="0"/>
        <v>Basic</v>
      </c>
      <c r="O4" s="73" t="str">
        <f t="shared" si="1"/>
        <v>Basic</v>
      </c>
      <c r="P4" s="73" t="str">
        <f t="shared" si="2"/>
        <v>Facilities</v>
      </c>
    </row>
    <row r="5" spans="1:16" s="64" customFormat="1" ht="90.9" hidden="1" customHeight="1">
      <c r="A5" s="62">
        <v>3</v>
      </c>
      <c r="B5" s="63" t="s">
        <v>13</v>
      </c>
      <c r="C5" s="63" t="s">
        <v>21</v>
      </c>
      <c r="D5" s="63" t="s">
        <v>43</v>
      </c>
      <c r="E5" s="77" t="s">
        <v>47</v>
      </c>
      <c r="F5" s="63" t="s">
        <v>376</v>
      </c>
      <c r="G5" s="63" t="s">
        <v>355</v>
      </c>
      <c r="H5" s="62" t="s">
        <v>45</v>
      </c>
      <c r="I5" s="63"/>
      <c r="J5" s="77" t="s">
        <v>385</v>
      </c>
      <c r="K5" s="63" t="s">
        <v>380</v>
      </c>
      <c r="L5" s="62"/>
      <c r="M5" s="62"/>
      <c r="N5" s="73" t="str">
        <f t="shared" si="0"/>
        <v>Basic</v>
      </c>
      <c r="O5" s="73" t="str">
        <f t="shared" si="1"/>
        <v>Basic</v>
      </c>
      <c r="P5" s="73" t="str">
        <f t="shared" si="2"/>
        <v>Facilities</v>
      </c>
    </row>
    <row r="6" spans="1:16" s="64" customFormat="1" ht="90.9" hidden="1" customHeight="1">
      <c r="A6" s="62">
        <v>4</v>
      </c>
      <c r="B6" s="63" t="s">
        <v>13</v>
      </c>
      <c r="C6" s="63" t="s">
        <v>21</v>
      </c>
      <c r="D6" s="63" t="s">
        <v>43</v>
      </c>
      <c r="E6" s="77" t="s">
        <v>48</v>
      </c>
      <c r="F6" s="63" t="s">
        <v>376</v>
      </c>
      <c r="G6" s="63" t="s">
        <v>355</v>
      </c>
      <c r="H6" s="62" t="s">
        <v>45</v>
      </c>
      <c r="I6" s="63"/>
      <c r="J6" s="77" t="s">
        <v>385</v>
      </c>
      <c r="K6" s="63" t="s">
        <v>380</v>
      </c>
      <c r="L6" s="62"/>
      <c r="M6" s="62"/>
      <c r="N6" s="73" t="str">
        <f t="shared" si="0"/>
        <v>Basic</v>
      </c>
      <c r="O6" s="73" t="str">
        <f t="shared" si="1"/>
        <v>Basic</v>
      </c>
      <c r="P6" s="73" t="str">
        <f t="shared" si="2"/>
        <v>Facilities</v>
      </c>
    </row>
    <row r="7" spans="1:16" s="64" customFormat="1" ht="90.9" hidden="1" customHeight="1">
      <c r="A7" s="62">
        <v>5</v>
      </c>
      <c r="B7" s="63" t="s">
        <v>13</v>
      </c>
      <c r="C7" s="63" t="s">
        <v>21</v>
      </c>
      <c r="D7" s="63" t="s">
        <v>43</v>
      </c>
      <c r="E7" s="77" t="s">
        <v>49</v>
      </c>
      <c r="F7" s="63" t="s">
        <v>376</v>
      </c>
      <c r="G7" s="63" t="s">
        <v>355</v>
      </c>
      <c r="H7" s="62" t="s">
        <v>45</v>
      </c>
      <c r="I7" s="63"/>
      <c r="J7" s="77" t="s">
        <v>385</v>
      </c>
      <c r="K7" s="63" t="s">
        <v>380</v>
      </c>
      <c r="L7" s="62"/>
      <c r="M7" s="62"/>
      <c r="N7" s="73" t="str">
        <f t="shared" si="0"/>
        <v>Basic</v>
      </c>
      <c r="O7" s="73" t="str">
        <f t="shared" si="1"/>
        <v>Basic</v>
      </c>
      <c r="P7" s="73" t="str">
        <f t="shared" si="2"/>
        <v>Facilities</v>
      </c>
    </row>
    <row r="8" spans="1:16" s="64" customFormat="1" ht="40.799999999999997" hidden="1">
      <c r="A8" s="62">
        <v>6</v>
      </c>
      <c r="B8" s="63" t="s">
        <v>15</v>
      </c>
      <c r="C8" s="63" t="s">
        <v>21</v>
      </c>
      <c r="D8" s="63" t="s">
        <v>43</v>
      </c>
      <c r="E8" s="77" t="s">
        <v>50</v>
      </c>
      <c r="F8" s="63" t="s">
        <v>376</v>
      </c>
      <c r="G8" s="63" t="s">
        <v>355</v>
      </c>
      <c r="H8" s="62" t="s">
        <v>45</v>
      </c>
      <c r="I8" s="63"/>
      <c r="J8" s="77"/>
      <c r="K8" s="63"/>
      <c r="L8" s="62"/>
      <c r="M8" s="62"/>
      <c r="N8" s="73" t="str">
        <f t="shared" si="0"/>
        <v>Standard</v>
      </c>
      <c r="O8" s="73" t="str">
        <f t="shared" si="1"/>
        <v>Standard</v>
      </c>
      <c r="P8" s="73" t="str">
        <f t="shared" si="2"/>
        <v>Facilities</v>
      </c>
    </row>
    <row r="9" spans="1:16" s="64" customFormat="1" ht="106.5" hidden="1" customHeight="1">
      <c r="A9" s="62">
        <v>7</v>
      </c>
      <c r="B9" s="63" t="s">
        <v>13</v>
      </c>
      <c r="C9" s="63" t="s">
        <v>21</v>
      </c>
      <c r="D9" s="63" t="s">
        <v>43</v>
      </c>
      <c r="E9" s="77" t="s">
        <v>51</v>
      </c>
      <c r="F9" s="63" t="s">
        <v>376</v>
      </c>
      <c r="G9" s="63" t="s">
        <v>355</v>
      </c>
      <c r="H9" s="62" t="s">
        <v>45</v>
      </c>
      <c r="I9" s="63"/>
      <c r="J9" s="77" t="s">
        <v>385</v>
      </c>
      <c r="K9" s="63" t="s">
        <v>380</v>
      </c>
      <c r="L9" s="62"/>
      <c r="M9" s="62"/>
      <c r="N9" s="73" t="str">
        <f t="shared" si="0"/>
        <v>Basic</v>
      </c>
      <c r="O9" s="73" t="str">
        <f t="shared" si="1"/>
        <v>Basic</v>
      </c>
      <c r="P9" s="73" t="str">
        <f t="shared" si="2"/>
        <v>Facilities</v>
      </c>
    </row>
    <row r="10" spans="1:16" s="64" customFormat="1" ht="240.6" hidden="1" customHeight="1">
      <c r="A10" s="62">
        <v>8</v>
      </c>
      <c r="B10" s="63" t="s">
        <v>13</v>
      </c>
      <c r="C10" s="63" t="s">
        <v>27</v>
      </c>
      <c r="D10" s="63" t="s">
        <v>52</v>
      </c>
      <c r="E10" s="77" t="s">
        <v>53</v>
      </c>
      <c r="F10" s="63" t="s">
        <v>376</v>
      </c>
      <c r="G10" s="63" t="s">
        <v>355</v>
      </c>
      <c r="H10" s="62" t="s">
        <v>45</v>
      </c>
      <c r="I10" s="63"/>
      <c r="J10" s="77" t="s">
        <v>386</v>
      </c>
      <c r="K10" s="63" t="s">
        <v>377</v>
      </c>
      <c r="L10" s="62"/>
      <c r="M10" s="62"/>
      <c r="N10" s="73" t="str">
        <f t="shared" si="0"/>
        <v>Basic</v>
      </c>
      <c r="O10" s="73" t="str">
        <f t="shared" si="1"/>
        <v>Basic</v>
      </c>
      <c r="P10" s="73" t="str">
        <f t="shared" si="2"/>
        <v>Product Presentation and Test Drive</v>
      </c>
    </row>
    <row r="11" spans="1:16" s="64" customFormat="1" ht="105" customHeight="1">
      <c r="A11" s="62">
        <v>9</v>
      </c>
      <c r="B11" s="63" t="s">
        <v>17</v>
      </c>
      <c r="C11" s="63" t="s">
        <v>27</v>
      </c>
      <c r="D11" s="63" t="s">
        <v>52</v>
      </c>
      <c r="E11" s="77" t="s">
        <v>54</v>
      </c>
      <c r="F11" s="63" t="s">
        <v>376</v>
      </c>
      <c r="G11" s="63" t="s">
        <v>355</v>
      </c>
      <c r="H11" s="62" t="s">
        <v>348</v>
      </c>
      <c r="I11" s="63"/>
      <c r="J11" s="77" t="s">
        <v>387</v>
      </c>
      <c r="K11" s="63" t="s">
        <v>378</v>
      </c>
      <c r="L11" s="62"/>
      <c r="M11" s="62"/>
      <c r="N11" s="73" t="str">
        <f t="shared" si="0"/>
        <v>Beyond</v>
      </c>
      <c r="O11" s="73" t="str">
        <f t="shared" si="1"/>
        <v>NO</v>
      </c>
      <c r="P11" s="73" t="str">
        <f t="shared" si="2"/>
        <v>NO</v>
      </c>
    </row>
    <row r="12" spans="1:16" s="64" customFormat="1" ht="96.9" hidden="1" customHeight="1">
      <c r="A12" s="62">
        <v>10</v>
      </c>
      <c r="B12" s="63" t="s">
        <v>15</v>
      </c>
      <c r="C12" s="63" t="s">
        <v>27</v>
      </c>
      <c r="D12" s="63" t="s">
        <v>52</v>
      </c>
      <c r="E12" s="77" t="s">
        <v>55</v>
      </c>
      <c r="F12" s="63" t="s">
        <v>376</v>
      </c>
      <c r="G12" s="63" t="s">
        <v>355</v>
      </c>
      <c r="H12" s="62" t="s">
        <v>45</v>
      </c>
      <c r="I12" s="63"/>
      <c r="J12" s="77" t="s">
        <v>388</v>
      </c>
      <c r="K12" s="63" t="s">
        <v>362</v>
      </c>
      <c r="L12" s="62"/>
      <c r="M12" s="62"/>
      <c r="N12" s="73" t="str">
        <f t="shared" si="0"/>
        <v>Standard</v>
      </c>
      <c r="O12" s="73" t="str">
        <f t="shared" si="1"/>
        <v>Standard</v>
      </c>
      <c r="P12" s="73" t="str">
        <f t="shared" si="2"/>
        <v>Product Presentation and Test Drive</v>
      </c>
    </row>
    <row r="13" spans="1:16" s="64" customFormat="1" ht="92.4" hidden="1" customHeight="1">
      <c r="A13" s="62">
        <v>11</v>
      </c>
      <c r="B13" s="63" t="s">
        <v>15</v>
      </c>
      <c r="C13" s="63" t="s">
        <v>26</v>
      </c>
      <c r="D13" s="63" t="s">
        <v>56</v>
      </c>
      <c r="E13" s="77" t="s">
        <v>57</v>
      </c>
      <c r="F13" s="63" t="s">
        <v>376</v>
      </c>
      <c r="G13" s="63" t="s">
        <v>355</v>
      </c>
      <c r="H13" s="62" t="s">
        <v>45</v>
      </c>
      <c r="I13" s="63"/>
      <c r="J13" s="77" t="s">
        <v>389</v>
      </c>
      <c r="K13" s="63" t="s">
        <v>376</v>
      </c>
      <c r="L13" s="62"/>
      <c r="M13" s="62"/>
      <c r="N13" s="73" t="str">
        <f t="shared" si="0"/>
        <v>Standard</v>
      </c>
      <c r="O13" s="73" t="str">
        <f t="shared" si="1"/>
        <v>Standard</v>
      </c>
      <c r="P13" s="73" t="str">
        <f t="shared" si="2"/>
        <v>Customer Engagement and Showroom Operations</v>
      </c>
    </row>
    <row r="14" spans="1:16" ht="83.4" hidden="1" customHeight="1">
      <c r="A14" s="62">
        <v>12</v>
      </c>
      <c r="B14" s="63" t="s">
        <v>15</v>
      </c>
      <c r="C14" s="63" t="s">
        <v>26</v>
      </c>
      <c r="D14" s="63" t="s">
        <v>56</v>
      </c>
      <c r="E14" s="78" t="s">
        <v>58</v>
      </c>
      <c r="F14" s="63" t="s">
        <v>376</v>
      </c>
      <c r="G14" s="63" t="s">
        <v>355</v>
      </c>
      <c r="H14" s="62" t="s">
        <v>45</v>
      </c>
      <c r="I14" s="63"/>
      <c r="J14" s="77" t="s">
        <v>389</v>
      </c>
      <c r="K14" s="63" t="s">
        <v>376</v>
      </c>
      <c r="L14" s="62"/>
      <c r="M14" s="62"/>
      <c r="N14" s="73" t="str">
        <f t="shared" si="0"/>
        <v>Standard</v>
      </c>
      <c r="O14" s="73" t="str">
        <f t="shared" si="1"/>
        <v>Standard</v>
      </c>
      <c r="P14" s="73" t="str">
        <f t="shared" si="2"/>
        <v>Customer Engagement and Showroom Operations</v>
      </c>
    </row>
    <row r="15" spans="1:16" s="64" customFormat="1" ht="81.599999999999994" hidden="1">
      <c r="A15" s="62">
        <v>13</v>
      </c>
      <c r="B15" s="63" t="s">
        <v>15</v>
      </c>
      <c r="C15" s="63" t="s">
        <v>21</v>
      </c>
      <c r="D15" s="63" t="s">
        <v>59</v>
      </c>
      <c r="E15" s="77" t="s">
        <v>60</v>
      </c>
      <c r="F15" s="63" t="s">
        <v>376</v>
      </c>
      <c r="G15" s="63" t="s">
        <v>355</v>
      </c>
      <c r="H15" s="62" t="s">
        <v>45</v>
      </c>
      <c r="I15" s="63"/>
      <c r="J15" s="77" t="s">
        <v>389</v>
      </c>
      <c r="K15" s="63" t="s">
        <v>376</v>
      </c>
      <c r="L15" s="62"/>
      <c r="M15" s="62"/>
      <c r="N15" s="73" t="str">
        <f t="shared" si="0"/>
        <v>Standard</v>
      </c>
      <c r="O15" s="73" t="str">
        <f t="shared" si="1"/>
        <v>Standard</v>
      </c>
      <c r="P15" s="73" t="str">
        <f t="shared" si="2"/>
        <v>Facilities</v>
      </c>
    </row>
    <row r="16" spans="1:16" s="64" customFormat="1" ht="61.2" hidden="1">
      <c r="A16" s="62">
        <v>14</v>
      </c>
      <c r="B16" s="63" t="s">
        <v>15</v>
      </c>
      <c r="C16" s="63" t="s">
        <v>21</v>
      </c>
      <c r="D16" s="63" t="s">
        <v>59</v>
      </c>
      <c r="E16" s="77" t="s">
        <v>61</v>
      </c>
      <c r="F16" s="63" t="s">
        <v>376</v>
      </c>
      <c r="G16" s="63" t="s">
        <v>355</v>
      </c>
      <c r="H16" s="62" t="s">
        <v>45</v>
      </c>
      <c r="I16" s="63"/>
      <c r="J16" s="77" t="s">
        <v>389</v>
      </c>
      <c r="K16" s="63" t="s">
        <v>376</v>
      </c>
      <c r="L16" s="62"/>
      <c r="M16" s="62"/>
      <c r="N16" s="73" t="str">
        <f t="shared" si="0"/>
        <v>Standard</v>
      </c>
      <c r="O16" s="73" t="str">
        <f t="shared" si="1"/>
        <v>Standard</v>
      </c>
      <c r="P16" s="73" t="str">
        <f t="shared" si="2"/>
        <v>Facilities</v>
      </c>
    </row>
    <row r="17" spans="1:16" s="64" customFormat="1" ht="61.2" hidden="1">
      <c r="A17" s="62">
        <v>15</v>
      </c>
      <c r="B17" s="63" t="s">
        <v>13</v>
      </c>
      <c r="C17" s="63" t="s">
        <v>21</v>
      </c>
      <c r="D17" s="63" t="s">
        <v>59</v>
      </c>
      <c r="E17" s="77" t="s">
        <v>62</v>
      </c>
      <c r="F17" s="63" t="s">
        <v>376</v>
      </c>
      <c r="G17" s="63" t="s">
        <v>355</v>
      </c>
      <c r="H17" s="62" t="s">
        <v>45</v>
      </c>
      <c r="I17" s="63"/>
      <c r="J17" s="77" t="s">
        <v>389</v>
      </c>
      <c r="K17" s="63" t="s">
        <v>376</v>
      </c>
      <c r="L17" s="62"/>
      <c r="M17" s="62"/>
      <c r="N17" s="73" t="str">
        <f t="shared" si="0"/>
        <v>Basic</v>
      </c>
      <c r="O17" s="73" t="str">
        <f t="shared" si="1"/>
        <v>Basic</v>
      </c>
      <c r="P17" s="73" t="str">
        <f t="shared" si="2"/>
        <v>Facilities</v>
      </c>
    </row>
    <row r="18" spans="1:16" s="64" customFormat="1" ht="61.2" hidden="1">
      <c r="A18" s="62">
        <v>16</v>
      </c>
      <c r="B18" s="63" t="s">
        <v>13</v>
      </c>
      <c r="C18" s="63" t="s">
        <v>21</v>
      </c>
      <c r="D18" s="63" t="s">
        <v>59</v>
      </c>
      <c r="E18" s="77" t="s">
        <v>63</v>
      </c>
      <c r="F18" s="63" t="s">
        <v>376</v>
      </c>
      <c r="G18" s="63" t="s">
        <v>355</v>
      </c>
      <c r="H18" s="62" t="s">
        <v>45</v>
      </c>
      <c r="I18" s="63"/>
      <c r="J18" s="77" t="s">
        <v>389</v>
      </c>
      <c r="K18" s="63" t="s">
        <v>376</v>
      </c>
      <c r="L18" s="62"/>
      <c r="M18" s="62"/>
      <c r="N18" s="73" t="str">
        <f t="shared" si="0"/>
        <v>Basic</v>
      </c>
      <c r="O18" s="73" t="str">
        <f t="shared" si="1"/>
        <v>Basic</v>
      </c>
      <c r="P18" s="73" t="str">
        <f t="shared" si="2"/>
        <v>Facilities</v>
      </c>
    </row>
    <row r="19" spans="1:16" ht="140.1" hidden="1" customHeight="1">
      <c r="A19" s="62">
        <v>17</v>
      </c>
      <c r="B19" s="63" t="s">
        <v>15</v>
      </c>
      <c r="C19" s="63" t="s">
        <v>21</v>
      </c>
      <c r="D19" s="63" t="s">
        <v>64</v>
      </c>
      <c r="E19" s="78" t="s">
        <v>65</v>
      </c>
      <c r="F19" s="63" t="s">
        <v>376</v>
      </c>
      <c r="G19" s="63" t="s">
        <v>355</v>
      </c>
      <c r="H19" s="62" t="s">
        <v>45</v>
      </c>
      <c r="I19" s="63"/>
      <c r="J19" s="77" t="s">
        <v>390</v>
      </c>
      <c r="K19" s="63" t="s">
        <v>381</v>
      </c>
      <c r="L19" s="62"/>
      <c r="M19" s="62"/>
      <c r="N19" s="73" t="str">
        <f t="shared" si="0"/>
        <v>Standard</v>
      </c>
      <c r="O19" s="73" t="str">
        <f t="shared" si="1"/>
        <v>Standard</v>
      </c>
      <c r="P19" s="73" t="str">
        <f t="shared" si="2"/>
        <v>Facilities</v>
      </c>
    </row>
    <row r="20" spans="1:16" s="64" customFormat="1" ht="102" hidden="1">
      <c r="A20" s="62">
        <v>18</v>
      </c>
      <c r="B20" s="63" t="s">
        <v>15</v>
      </c>
      <c r="C20" s="63" t="s">
        <v>21</v>
      </c>
      <c r="D20" s="63" t="s">
        <v>64</v>
      </c>
      <c r="E20" s="77" t="s">
        <v>66</v>
      </c>
      <c r="F20" s="63" t="s">
        <v>376</v>
      </c>
      <c r="G20" s="63" t="s">
        <v>355</v>
      </c>
      <c r="H20" s="62" t="s">
        <v>45</v>
      </c>
      <c r="I20" s="63"/>
      <c r="J20" s="77" t="s">
        <v>389</v>
      </c>
      <c r="K20" s="63" t="s">
        <v>376</v>
      </c>
      <c r="L20" s="62"/>
      <c r="M20" s="62"/>
      <c r="N20" s="73" t="str">
        <f t="shared" si="0"/>
        <v>Standard</v>
      </c>
      <c r="O20" s="73" t="str">
        <f t="shared" si="1"/>
        <v>Standard</v>
      </c>
      <c r="P20" s="73" t="str">
        <f t="shared" si="2"/>
        <v>Facilities</v>
      </c>
    </row>
    <row r="21" spans="1:16" s="64" customFormat="1" ht="102" hidden="1">
      <c r="A21" s="62">
        <v>19</v>
      </c>
      <c r="B21" s="63" t="s">
        <v>15</v>
      </c>
      <c r="C21" s="63" t="s">
        <v>21</v>
      </c>
      <c r="D21" s="63" t="s">
        <v>64</v>
      </c>
      <c r="E21" s="77" t="s">
        <v>67</v>
      </c>
      <c r="F21" s="63" t="s">
        <v>376</v>
      </c>
      <c r="G21" s="63" t="s">
        <v>355</v>
      </c>
      <c r="H21" s="62" t="s">
        <v>45</v>
      </c>
      <c r="I21" s="63"/>
      <c r="J21" s="77" t="s">
        <v>391</v>
      </c>
      <c r="K21" s="63" t="s">
        <v>361</v>
      </c>
      <c r="L21" s="62"/>
      <c r="M21" s="62"/>
      <c r="N21" s="73" t="str">
        <f t="shared" si="0"/>
        <v>Standard</v>
      </c>
      <c r="O21" s="73" t="str">
        <f t="shared" si="1"/>
        <v>Standard</v>
      </c>
      <c r="P21" s="73" t="str">
        <f t="shared" si="2"/>
        <v>Facilities</v>
      </c>
    </row>
    <row r="22" spans="1:16" s="64" customFormat="1" ht="102" hidden="1">
      <c r="A22" s="62">
        <v>20</v>
      </c>
      <c r="B22" s="63" t="s">
        <v>15</v>
      </c>
      <c r="C22" s="63" t="s">
        <v>21</v>
      </c>
      <c r="D22" s="63" t="s">
        <v>64</v>
      </c>
      <c r="E22" s="77" t="s">
        <v>68</v>
      </c>
      <c r="F22" s="63" t="s">
        <v>376</v>
      </c>
      <c r="G22" s="63" t="s">
        <v>355</v>
      </c>
      <c r="H22" s="62" t="s">
        <v>45</v>
      </c>
      <c r="I22" s="63"/>
      <c r="J22" s="77" t="s">
        <v>389</v>
      </c>
      <c r="K22" s="63" t="s">
        <v>361</v>
      </c>
      <c r="L22" s="62"/>
      <c r="M22" s="62"/>
      <c r="N22" s="73" t="str">
        <f t="shared" si="0"/>
        <v>Standard</v>
      </c>
      <c r="O22" s="73" t="str">
        <f t="shared" si="1"/>
        <v>Standard</v>
      </c>
      <c r="P22" s="73" t="str">
        <f t="shared" si="2"/>
        <v>Facilities</v>
      </c>
    </row>
    <row r="23" spans="1:16" s="64" customFormat="1" ht="61.2" hidden="1">
      <c r="A23" s="62">
        <v>21</v>
      </c>
      <c r="B23" s="63" t="s">
        <v>15</v>
      </c>
      <c r="C23" s="63" t="s">
        <v>26</v>
      </c>
      <c r="D23" s="63" t="s">
        <v>59</v>
      </c>
      <c r="E23" s="77" t="s">
        <v>69</v>
      </c>
      <c r="F23" s="63" t="s">
        <v>376</v>
      </c>
      <c r="G23" s="63" t="s">
        <v>355</v>
      </c>
      <c r="H23" s="62" t="s">
        <v>45</v>
      </c>
      <c r="I23" s="63"/>
      <c r="J23" s="77" t="s">
        <v>389</v>
      </c>
      <c r="K23" s="63" t="s">
        <v>376</v>
      </c>
      <c r="L23" s="62"/>
      <c r="M23" s="62"/>
      <c r="N23" s="73" t="str">
        <f t="shared" si="0"/>
        <v>Standard</v>
      </c>
      <c r="O23" s="73" t="str">
        <f t="shared" si="1"/>
        <v>Standard</v>
      </c>
      <c r="P23" s="73" t="str">
        <f t="shared" si="2"/>
        <v>Customer Engagement and Showroom Operations</v>
      </c>
    </row>
    <row r="24" spans="1:16" ht="61.2">
      <c r="A24" s="62">
        <v>22</v>
      </c>
      <c r="B24" s="63" t="s">
        <v>17</v>
      </c>
      <c r="C24" s="63" t="s">
        <v>26</v>
      </c>
      <c r="D24" s="63" t="s">
        <v>59</v>
      </c>
      <c r="E24" s="78" t="s">
        <v>70</v>
      </c>
      <c r="F24" s="63" t="s">
        <v>376</v>
      </c>
      <c r="G24" s="63" t="s">
        <v>355</v>
      </c>
      <c r="H24" s="62" t="s">
        <v>348</v>
      </c>
      <c r="I24" s="63"/>
      <c r="J24" s="77" t="s">
        <v>389</v>
      </c>
      <c r="K24" s="63" t="s">
        <v>376</v>
      </c>
      <c r="L24" s="62"/>
      <c r="M24" s="62"/>
      <c r="N24" s="73" t="str">
        <f t="shared" si="0"/>
        <v>Beyond</v>
      </c>
      <c r="O24" s="73" t="str">
        <f t="shared" si="1"/>
        <v>NO</v>
      </c>
      <c r="P24" s="73" t="str">
        <f t="shared" si="2"/>
        <v>NO</v>
      </c>
    </row>
    <row r="25" spans="1:16" ht="122.4" hidden="1">
      <c r="A25" s="62">
        <v>23</v>
      </c>
      <c r="B25" s="63" t="s">
        <v>13</v>
      </c>
      <c r="C25" s="63" t="s">
        <v>21</v>
      </c>
      <c r="D25" s="63" t="s">
        <v>59</v>
      </c>
      <c r="E25" s="78" t="s">
        <v>71</v>
      </c>
      <c r="F25" s="63" t="s">
        <v>376</v>
      </c>
      <c r="G25" s="63" t="s">
        <v>355</v>
      </c>
      <c r="H25" s="62" t="s">
        <v>45</v>
      </c>
      <c r="I25" s="63"/>
      <c r="J25" s="77" t="s">
        <v>390</v>
      </c>
      <c r="K25" s="63" t="s">
        <v>380</v>
      </c>
      <c r="L25" s="62"/>
      <c r="M25" s="62"/>
      <c r="N25" s="73" t="str">
        <f t="shared" si="0"/>
        <v>Basic</v>
      </c>
      <c r="O25" s="73" t="str">
        <f t="shared" si="1"/>
        <v>Basic</v>
      </c>
      <c r="P25" s="73" t="str">
        <f t="shared" si="2"/>
        <v>Facilities</v>
      </c>
    </row>
    <row r="26" spans="1:16" s="64" customFormat="1" ht="122.4" hidden="1">
      <c r="A26" s="62">
        <v>24</v>
      </c>
      <c r="B26" s="63" t="s">
        <v>13</v>
      </c>
      <c r="C26" s="63" t="s">
        <v>21</v>
      </c>
      <c r="D26" s="63" t="s">
        <v>59</v>
      </c>
      <c r="E26" s="77" t="s">
        <v>72</v>
      </c>
      <c r="F26" s="63" t="s">
        <v>376</v>
      </c>
      <c r="G26" s="63" t="s">
        <v>355</v>
      </c>
      <c r="H26" s="62" t="s">
        <v>45</v>
      </c>
      <c r="I26" s="63"/>
      <c r="J26" s="77" t="s">
        <v>390</v>
      </c>
      <c r="K26" s="63" t="s">
        <v>380</v>
      </c>
      <c r="L26" s="62"/>
      <c r="M26" s="62"/>
      <c r="N26" s="73" t="str">
        <f t="shared" si="0"/>
        <v>Basic</v>
      </c>
      <c r="O26" s="73" t="str">
        <f t="shared" si="1"/>
        <v>Basic</v>
      </c>
      <c r="P26" s="73" t="str">
        <f t="shared" si="2"/>
        <v>Facilities</v>
      </c>
    </row>
    <row r="27" spans="1:16" s="64" customFormat="1" ht="112.5" hidden="1" customHeight="1">
      <c r="A27" s="62">
        <v>25</v>
      </c>
      <c r="B27" s="63" t="s">
        <v>13</v>
      </c>
      <c r="C27" s="63" t="s">
        <v>21</v>
      </c>
      <c r="D27" s="63" t="s">
        <v>59</v>
      </c>
      <c r="E27" s="77" t="s">
        <v>73</v>
      </c>
      <c r="F27" s="63" t="s">
        <v>376</v>
      </c>
      <c r="G27" s="63" t="s">
        <v>355</v>
      </c>
      <c r="H27" s="62" t="s">
        <v>45</v>
      </c>
      <c r="I27" s="63"/>
      <c r="J27" s="77" t="s">
        <v>390</v>
      </c>
      <c r="K27" s="63" t="s">
        <v>380</v>
      </c>
      <c r="L27" s="62"/>
      <c r="M27" s="62"/>
      <c r="N27" s="73" t="str">
        <f t="shared" si="0"/>
        <v>Basic</v>
      </c>
      <c r="O27" s="73" t="str">
        <f t="shared" si="1"/>
        <v>Basic</v>
      </c>
      <c r="P27" s="73" t="str">
        <f t="shared" si="2"/>
        <v>Facilities</v>
      </c>
    </row>
    <row r="28" spans="1:16" s="64" customFormat="1" ht="57.6" hidden="1" customHeight="1">
      <c r="A28" s="62">
        <v>26</v>
      </c>
      <c r="B28" s="63" t="s">
        <v>13</v>
      </c>
      <c r="C28" s="63" t="s">
        <v>21</v>
      </c>
      <c r="D28" s="63" t="s">
        <v>59</v>
      </c>
      <c r="E28" s="77" t="s">
        <v>74</v>
      </c>
      <c r="F28" s="63" t="s">
        <v>376</v>
      </c>
      <c r="G28" s="63" t="s">
        <v>355</v>
      </c>
      <c r="H28" s="62" t="s">
        <v>45</v>
      </c>
      <c r="I28" s="63"/>
      <c r="J28" s="77" t="s">
        <v>390</v>
      </c>
      <c r="K28" s="63" t="s">
        <v>380</v>
      </c>
      <c r="L28" s="62"/>
      <c r="M28" s="62"/>
      <c r="N28" s="73" t="str">
        <f t="shared" si="0"/>
        <v>Basic</v>
      </c>
      <c r="O28" s="73" t="str">
        <f t="shared" si="1"/>
        <v>Basic</v>
      </c>
      <c r="P28" s="73" t="str">
        <f t="shared" si="2"/>
        <v>Facilities</v>
      </c>
    </row>
    <row r="29" spans="1:16" ht="122.4" hidden="1">
      <c r="A29" s="62">
        <v>27</v>
      </c>
      <c r="B29" s="63" t="s">
        <v>15</v>
      </c>
      <c r="C29" s="63" t="s">
        <v>21</v>
      </c>
      <c r="D29" s="63" t="s">
        <v>59</v>
      </c>
      <c r="E29" s="78" t="s">
        <v>75</v>
      </c>
      <c r="F29" s="63" t="s">
        <v>376</v>
      </c>
      <c r="G29" s="63" t="s">
        <v>355</v>
      </c>
      <c r="H29" s="62" t="s">
        <v>45</v>
      </c>
      <c r="I29" s="63"/>
      <c r="J29" s="77" t="s">
        <v>390</v>
      </c>
      <c r="K29" s="63" t="s">
        <v>382</v>
      </c>
      <c r="L29" s="62"/>
      <c r="M29" s="62"/>
      <c r="N29" s="73" t="str">
        <f t="shared" si="0"/>
        <v>Standard</v>
      </c>
      <c r="O29" s="73" t="str">
        <f t="shared" si="1"/>
        <v>Standard</v>
      </c>
      <c r="P29" s="73" t="str">
        <f t="shared" si="2"/>
        <v>Facilities</v>
      </c>
    </row>
    <row r="30" spans="1:16" s="64" customFormat="1" ht="66" hidden="1" customHeight="1">
      <c r="A30" s="62">
        <v>28</v>
      </c>
      <c r="B30" s="63" t="s">
        <v>15</v>
      </c>
      <c r="C30" s="63" t="s">
        <v>21</v>
      </c>
      <c r="D30" s="63" t="s">
        <v>59</v>
      </c>
      <c r="E30" s="77" t="s">
        <v>76</v>
      </c>
      <c r="F30" s="63" t="s">
        <v>376</v>
      </c>
      <c r="G30" s="63" t="s">
        <v>355</v>
      </c>
      <c r="H30" s="62" t="s">
        <v>45</v>
      </c>
      <c r="I30" s="63"/>
      <c r="J30" s="77" t="s">
        <v>390</v>
      </c>
      <c r="K30" s="63" t="s">
        <v>380</v>
      </c>
      <c r="L30" s="62"/>
      <c r="M30" s="62"/>
      <c r="N30" s="73" t="str">
        <f t="shared" si="0"/>
        <v>Standard</v>
      </c>
      <c r="O30" s="73" t="str">
        <f t="shared" si="1"/>
        <v>Standard</v>
      </c>
      <c r="P30" s="73" t="str">
        <f t="shared" si="2"/>
        <v>Facilities</v>
      </c>
    </row>
    <row r="31" spans="1:16" ht="105" hidden="1" customHeight="1">
      <c r="A31" s="62">
        <v>29</v>
      </c>
      <c r="B31" s="63" t="s">
        <v>13</v>
      </c>
      <c r="C31" s="63" t="s">
        <v>21</v>
      </c>
      <c r="D31" s="63" t="s">
        <v>59</v>
      </c>
      <c r="E31" s="78" t="s">
        <v>77</v>
      </c>
      <c r="F31" s="63" t="s">
        <v>376</v>
      </c>
      <c r="G31" s="63" t="s">
        <v>355</v>
      </c>
      <c r="H31" s="62" t="s">
        <v>45</v>
      </c>
      <c r="I31" s="63"/>
      <c r="J31" s="77" t="s">
        <v>392</v>
      </c>
      <c r="K31" s="63" t="s">
        <v>383</v>
      </c>
      <c r="L31" s="62"/>
      <c r="M31" s="62"/>
      <c r="N31" s="73" t="str">
        <f t="shared" si="0"/>
        <v>Basic</v>
      </c>
      <c r="O31" s="73" t="str">
        <f t="shared" si="1"/>
        <v>Basic</v>
      </c>
      <c r="P31" s="73" t="str">
        <f t="shared" si="2"/>
        <v>Facilities</v>
      </c>
    </row>
    <row r="32" spans="1:16" ht="122.4" hidden="1">
      <c r="A32" s="62">
        <v>30</v>
      </c>
      <c r="B32" s="63" t="s">
        <v>15</v>
      </c>
      <c r="C32" s="63" t="s">
        <v>26</v>
      </c>
      <c r="D32" s="63" t="s">
        <v>59</v>
      </c>
      <c r="E32" s="78" t="s">
        <v>78</v>
      </c>
      <c r="F32" s="63" t="s">
        <v>376</v>
      </c>
      <c r="G32" s="63" t="s">
        <v>355</v>
      </c>
      <c r="H32" s="62" t="s">
        <v>45</v>
      </c>
      <c r="I32" s="63"/>
      <c r="J32" s="77" t="s">
        <v>390</v>
      </c>
      <c r="K32" s="63" t="s">
        <v>359</v>
      </c>
      <c r="L32" s="62"/>
      <c r="M32" s="62"/>
      <c r="N32" s="73" t="str">
        <f t="shared" si="0"/>
        <v>Standard</v>
      </c>
      <c r="O32" s="73" t="str">
        <f t="shared" si="1"/>
        <v>Standard</v>
      </c>
      <c r="P32" s="73" t="str">
        <f t="shared" si="2"/>
        <v>Customer Engagement and Showroom Operations</v>
      </c>
    </row>
    <row r="33" spans="1:16" s="64" customFormat="1" ht="102" hidden="1">
      <c r="A33" s="62">
        <v>31</v>
      </c>
      <c r="B33" s="63" t="s">
        <v>15</v>
      </c>
      <c r="C33" s="63" t="s">
        <v>26</v>
      </c>
      <c r="D33" s="63" t="s">
        <v>59</v>
      </c>
      <c r="E33" s="77" t="s">
        <v>79</v>
      </c>
      <c r="F33" s="63" t="s">
        <v>376</v>
      </c>
      <c r="G33" s="63" t="s">
        <v>355</v>
      </c>
      <c r="H33" s="62" t="s">
        <v>45</v>
      </c>
      <c r="I33" s="63" t="s">
        <v>384</v>
      </c>
      <c r="J33" s="77" t="s">
        <v>393</v>
      </c>
      <c r="K33" s="63" t="s">
        <v>376</v>
      </c>
      <c r="L33" s="62"/>
      <c r="M33" s="62"/>
      <c r="N33" s="73" t="str">
        <f t="shared" si="0"/>
        <v>Standard</v>
      </c>
      <c r="O33" s="73" t="str">
        <f t="shared" si="1"/>
        <v>Standard</v>
      </c>
      <c r="P33" s="73" t="str">
        <f t="shared" si="2"/>
        <v>Customer Engagement and Showroom Operations</v>
      </c>
    </row>
    <row r="34" spans="1:16" s="64" customFormat="1" ht="81.599999999999994" hidden="1">
      <c r="A34" s="62">
        <v>32</v>
      </c>
      <c r="B34" s="63" t="s">
        <v>15</v>
      </c>
      <c r="C34" s="63" t="s">
        <v>26</v>
      </c>
      <c r="D34" s="63" t="s">
        <v>59</v>
      </c>
      <c r="E34" s="77" t="s">
        <v>80</v>
      </c>
      <c r="F34" s="63" t="s">
        <v>376</v>
      </c>
      <c r="G34" s="63" t="s">
        <v>355</v>
      </c>
      <c r="H34" s="62" t="s">
        <v>45</v>
      </c>
      <c r="I34" s="63"/>
      <c r="J34" s="77" t="s">
        <v>393</v>
      </c>
      <c r="K34" s="63" t="s">
        <v>376</v>
      </c>
      <c r="L34" s="62"/>
      <c r="M34" s="62"/>
      <c r="N34" s="73" t="str">
        <f t="shared" si="0"/>
        <v>Standard</v>
      </c>
      <c r="O34" s="73" t="str">
        <f t="shared" si="1"/>
        <v>Standard</v>
      </c>
      <c r="P34" s="73" t="str">
        <f t="shared" si="2"/>
        <v>Customer Engagement and Showroom Operations</v>
      </c>
    </row>
    <row r="35" spans="1:16" s="64" customFormat="1" ht="61.2">
      <c r="A35" s="62">
        <v>33</v>
      </c>
      <c r="B35" s="63" t="s">
        <v>17</v>
      </c>
      <c r="C35" s="63" t="s">
        <v>26</v>
      </c>
      <c r="D35" s="63" t="s">
        <v>59</v>
      </c>
      <c r="E35" s="77" t="s">
        <v>81</v>
      </c>
      <c r="F35" s="63" t="s">
        <v>376</v>
      </c>
      <c r="G35" s="63" t="s">
        <v>355</v>
      </c>
      <c r="H35" s="62" t="s">
        <v>348</v>
      </c>
      <c r="I35" s="63"/>
      <c r="J35" s="77" t="s">
        <v>389</v>
      </c>
      <c r="K35" s="63" t="s">
        <v>376</v>
      </c>
      <c r="L35" s="62"/>
      <c r="M35" s="62"/>
      <c r="N35" s="73" t="str">
        <f t="shared" ref="N35:N66" si="3">IF(NOT(H35="N/A"),B35,"N/A")</f>
        <v>Beyond</v>
      </c>
      <c r="O35" s="73" t="str">
        <f t="shared" ref="O35:O66" si="4">IF(H35="YES",B35,IF(H35="N/A","N/A","NO"))</f>
        <v>NO</v>
      </c>
      <c r="P35" s="73" t="str">
        <f t="shared" ref="P35:P66" si="5">IF(H35="YES",C35,IF(H35="N/A","N/A","NO"))</f>
        <v>NO</v>
      </c>
    </row>
    <row r="36" spans="1:16" s="64" customFormat="1" ht="81.599999999999994" hidden="1">
      <c r="A36" s="62">
        <v>34</v>
      </c>
      <c r="B36" s="63" t="s">
        <v>15</v>
      </c>
      <c r="C36" s="63" t="s">
        <v>21</v>
      </c>
      <c r="D36" s="63" t="s">
        <v>59</v>
      </c>
      <c r="E36" s="77" t="s">
        <v>82</v>
      </c>
      <c r="F36" s="63" t="s">
        <v>376</v>
      </c>
      <c r="G36" s="63" t="s">
        <v>355</v>
      </c>
      <c r="H36" s="62" t="s">
        <v>45</v>
      </c>
      <c r="I36" s="63"/>
      <c r="J36" s="77" t="s">
        <v>394</v>
      </c>
      <c r="K36" s="63" t="s">
        <v>376</v>
      </c>
      <c r="L36" s="62"/>
      <c r="M36" s="62"/>
      <c r="N36" s="73" t="str">
        <f t="shared" si="3"/>
        <v>Standard</v>
      </c>
      <c r="O36" s="73" t="str">
        <f t="shared" si="4"/>
        <v>Standard</v>
      </c>
      <c r="P36" s="73" t="str">
        <f t="shared" si="5"/>
        <v>Facilities</v>
      </c>
    </row>
    <row r="37" spans="1:16" s="64" customFormat="1" ht="61.2" hidden="1">
      <c r="A37" s="62">
        <v>35</v>
      </c>
      <c r="B37" s="63" t="s">
        <v>15</v>
      </c>
      <c r="C37" s="63" t="s">
        <v>30</v>
      </c>
      <c r="D37" s="63" t="s">
        <v>83</v>
      </c>
      <c r="E37" s="77" t="s">
        <v>84</v>
      </c>
      <c r="F37" s="63" t="s">
        <v>376</v>
      </c>
      <c r="G37" s="63" t="s">
        <v>355</v>
      </c>
      <c r="H37" s="62" t="s">
        <v>45</v>
      </c>
      <c r="I37" s="63"/>
      <c r="J37" s="77" t="s">
        <v>389</v>
      </c>
      <c r="K37" s="63" t="s">
        <v>376</v>
      </c>
      <c r="L37" s="62"/>
      <c r="M37" s="62"/>
      <c r="N37" s="73" t="str">
        <f t="shared" si="3"/>
        <v>Standard</v>
      </c>
      <c r="O37" s="73" t="str">
        <f t="shared" si="4"/>
        <v>Standard</v>
      </c>
      <c r="P37" s="73" t="str">
        <f t="shared" si="5"/>
        <v>Sales Operation Management</v>
      </c>
    </row>
    <row r="38" spans="1:16" s="64" customFormat="1" ht="61.2" hidden="1">
      <c r="A38" s="62">
        <v>36</v>
      </c>
      <c r="B38" s="63" t="s">
        <v>15</v>
      </c>
      <c r="C38" s="63" t="s">
        <v>30</v>
      </c>
      <c r="D38" s="63" t="s">
        <v>83</v>
      </c>
      <c r="E38" s="77" t="s">
        <v>85</v>
      </c>
      <c r="F38" s="63" t="s">
        <v>376</v>
      </c>
      <c r="G38" s="63" t="s">
        <v>355</v>
      </c>
      <c r="H38" s="62" t="s">
        <v>45</v>
      </c>
      <c r="I38" s="63"/>
      <c r="J38" s="77" t="s">
        <v>389</v>
      </c>
      <c r="K38" s="63" t="s">
        <v>376</v>
      </c>
      <c r="L38" s="62"/>
      <c r="M38" s="62"/>
      <c r="N38" s="73" t="str">
        <f t="shared" si="3"/>
        <v>Standard</v>
      </c>
      <c r="O38" s="73" t="str">
        <f t="shared" si="4"/>
        <v>Standard</v>
      </c>
      <c r="P38" s="73" t="str">
        <f t="shared" si="5"/>
        <v>Sales Operation Management</v>
      </c>
    </row>
    <row r="39" spans="1:16" s="64" customFormat="1" ht="40.799999999999997" hidden="1">
      <c r="A39" s="62">
        <v>37</v>
      </c>
      <c r="B39" s="63" t="s">
        <v>15</v>
      </c>
      <c r="C39" s="63" t="s">
        <v>30</v>
      </c>
      <c r="D39" s="63" t="s">
        <v>83</v>
      </c>
      <c r="E39" s="77" t="s">
        <v>86</v>
      </c>
      <c r="F39" s="63" t="s">
        <v>376</v>
      </c>
      <c r="G39" s="63" t="s">
        <v>355</v>
      </c>
      <c r="H39" s="62" t="s">
        <v>45</v>
      </c>
      <c r="I39" s="63"/>
      <c r="J39" s="77" t="s">
        <v>395</v>
      </c>
      <c r="K39" s="63" t="s">
        <v>358</v>
      </c>
      <c r="L39" s="62"/>
      <c r="M39" s="62"/>
      <c r="N39" s="73" t="str">
        <f t="shared" si="3"/>
        <v>Standard</v>
      </c>
      <c r="O39" s="73" t="str">
        <f t="shared" si="4"/>
        <v>Standard</v>
      </c>
      <c r="P39" s="73" t="str">
        <f t="shared" si="5"/>
        <v>Sales Operation Management</v>
      </c>
    </row>
    <row r="40" spans="1:16" s="64" customFormat="1" ht="61.2" hidden="1">
      <c r="A40" s="62">
        <v>38</v>
      </c>
      <c r="B40" s="63" t="s">
        <v>15</v>
      </c>
      <c r="C40" s="63" t="s">
        <v>27</v>
      </c>
      <c r="D40" s="63" t="s">
        <v>83</v>
      </c>
      <c r="E40" s="77" t="s">
        <v>87</v>
      </c>
      <c r="F40" s="63" t="s">
        <v>376</v>
      </c>
      <c r="G40" s="63" t="s">
        <v>355</v>
      </c>
      <c r="H40" s="62" t="s">
        <v>45</v>
      </c>
      <c r="I40" s="63"/>
      <c r="J40" s="77" t="s">
        <v>395</v>
      </c>
      <c r="K40" s="63" t="s">
        <v>365</v>
      </c>
      <c r="L40" s="62"/>
      <c r="M40" s="62"/>
      <c r="N40" s="73" t="str">
        <f t="shared" si="3"/>
        <v>Standard</v>
      </c>
      <c r="O40" s="73" t="str">
        <f t="shared" si="4"/>
        <v>Standard</v>
      </c>
      <c r="P40" s="73" t="str">
        <f t="shared" si="5"/>
        <v>Product Presentation and Test Drive</v>
      </c>
    </row>
    <row r="41" spans="1:16" ht="66.75" hidden="1" customHeight="1">
      <c r="A41" s="62">
        <v>39</v>
      </c>
      <c r="B41" s="63" t="s">
        <v>15</v>
      </c>
      <c r="C41" s="63" t="s">
        <v>24</v>
      </c>
      <c r="D41" s="63" t="s">
        <v>83</v>
      </c>
      <c r="E41" s="78" t="s">
        <v>88</v>
      </c>
      <c r="F41" s="63" t="s">
        <v>376</v>
      </c>
      <c r="G41" s="63" t="s">
        <v>355</v>
      </c>
      <c r="H41" s="62" t="s">
        <v>45</v>
      </c>
      <c r="I41" s="63"/>
      <c r="J41" s="77" t="s">
        <v>395</v>
      </c>
      <c r="K41" s="63" t="s">
        <v>349</v>
      </c>
      <c r="L41" s="62"/>
      <c r="M41" s="62"/>
      <c r="N41" s="73" t="str">
        <f t="shared" si="3"/>
        <v>Standard</v>
      </c>
      <c r="O41" s="73" t="str">
        <f t="shared" si="4"/>
        <v>Standard</v>
      </c>
      <c r="P41" s="73" t="str">
        <f t="shared" si="5"/>
        <v>Lead Generation and Management</v>
      </c>
    </row>
    <row r="42" spans="1:16" s="64" customFormat="1" ht="66.75" customHeight="1">
      <c r="A42" s="62">
        <v>40</v>
      </c>
      <c r="B42" s="63" t="s">
        <v>17</v>
      </c>
      <c r="C42" s="63" t="s">
        <v>24</v>
      </c>
      <c r="D42" s="63" t="s">
        <v>83</v>
      </c>
      <c r="E42" s="77" t="s">
        <v>89</v>
      </c>
      <c r="F42" s="63" t="s">
        <v>376</v>
      </c>
      <c r="G42" s="63" t="s">
        <v>355</v>
      </c>
      <c r="H42" s="62" t="s">
        <v>348</v>
      </c>
      <c r="I42" s="63"/>
      <c r="J42" s="77" t="s">
        <v>395</v>
      </c>
      <c r="K42" s="63" t="s">
        <v>362</v>
      </c>
      <c r="L42" s="62"/>
      <c r="M42" s="62"/>
      <c r="N42" s="73" t="str">
        <f t="shared" si="3"/>
        <v>Beyond</v>
      </c>
      <c r="O42" s="73" t="str">
        <f t="shared" si="4"/>
        <v>NO</v>
      </c>
      <c r="P42" s="73" t="str">
        <f t="shared" si="5"/>
        <v>NO</v>
      </c>
    </row>
    <row r="43" spans="1:16" s="64" customFormat="1" ht="66.75" customHeight="1">
      <c r="A43" s="62">
        <v>41</v>
      </c>
      <c r="B43" s="63" t="s">
        <v>17</v>
      </c>
      <c r="C43" s="63" t="s">
        <v>24</v>
      </c>
      <c r="D43" s="63" t="s">
        <v>83</v>
      </c>
      <c r="E43" s="77" t="s">
        <v>90</v>
      </c>
      <c r="F43" s="63" t="s">
        <v>376</v>
      </c>
      <c r="G43" s="63" t="s">
        <v>355</v>
      </c>
      <c r="H43" s="62" t="s">
        <v>348</v>
      </c>
      <c r="I43" s="63"/>
      <c r="J43" s="77" t="s">
        <v>395</v>
      </c>
      <c r="K43" s="63" t="s">
        <v>362</v>
      </c>
      <c r="L43" s="62"/>
      <c r="M43" s="62"/>
      <c r="N43" s="73" t="str">
        <f t="shared" si="3"/>
        <v>Beyond</v>
      </c>
      <c r="O43" s="73" t="str">
        <f t="shared" si="4"/>
        <v>NO</v>
      </c>
      <c r="P43" s="73" t="str">
        <f t="shared" si="5"/>
        <v>NO</v>
      </c>
    </row>
    <row r="44" spans="1:16" s="64" customFormat="1" ht="61.2" hidden="1">
      <c r="A44" s="62">
        <v>42</v>
      </c>
      <c r="B44" s="63" t="s">
        <v>15</v>
      </c>
      <c r="C44" s="63" t="s">
        <v>23</v>
      </c>
      <c r="D44" s="63" t="s">
        <v>91</v>
      </c>
      <c r="E44" s="77" t="s">
        <v>92</v>
      </c>
      <c r="F44" s="63" t="s">
        <v>376</v>
      </c>
      <c r="G44" s="63" t="s">
        <v>355</v>
      </c>
      <c r="H44" s="62" t="s">
        <v>45</v>
      </c>
      <c r="I44" s="63"/>
      <c r="J44" s="77" t="s">
        <v>389</v>
      </c>
      <c r="K44" s="63" t="s">
        <v>358</v>
      </c>
      <c r="L44" s="62"/>
      <c r="M44" s="62"/>
      <c r="N44" s="73" t="str">
        <f t="shared" si="3"/>
        <v>Standard</v>
      </c>
      <c r="O44" s="73" t="str">
        <f t="shared" si="4"/>
        <v>Standard</v>
      </c>
      <c r="P44" s="73" t="str">
        <f t="shared" si="5"/>
        <v>Manpower</v>
      </c>
    </row>
    <row r="45" spans="1:16" s="64" customFormat="1" ht="40.799999999999997" hidden="1">
      <c r="A45" s="62">
        <v>43</v>
      </c>
      <c r="B45" s="63" t="s">
        <v>15</v>
      </c>
      <c r="C45" s="63" t="s">
        <v>30</v>
      </c>
      <c r="D45" s="63" t="s">
        <v>91</v>
      </c>
      <c r="E45" s="77" t="s">
        <v>93</v>
      </c>
      <c r="F45" s="63" t="s">
        <v>376</v>
      </c>
      <c r="G45" s="63" t="s">
        <v>355</v>
      </c>
      <c r="H45" s="62" t="s">
        <v>45</v>
      </c>
      <c r="I45" s="63"/>
      <c r="J45" s="77" t="s">
        <v>395</v>
      </c>
      <c r="K45" s="63" t="s">
        <v>358</v>
      </c>
      <c r="L45" s="62"/>
      <c r="M45" s="62"/>
      <c r="N45" s="73" t="str">
        <f t="shared" si="3"/>
        <v>Standard</v>
      </c>
      <c r="O45" s="73" t="str">
        <f t="shared" si="4"/>
        <v>Standard</v>
      </c>
      <c r="P45" s="73" t="str">
        <f t="shared" si="5"/>
        <v>Sales Operation Management</v>
      </c>
    </row>
    <row r="46" spans="1:16" s="64" customFormat="1" ht="66.75" hidden="1" customHeight="1">
      <c r="A46" s="62">
        <v>44</v>
      </c>
      <c r="B46" s="63" t="s">
        <v>15</v>
      </c>
      <c r="C46" s="63" t="s">
        <v>24</v>
      </c>
      <c r="D46" s="63" t="s">
        <v>91</v>
      </c>
      <c r="E46" s="77" t="s">
        <v>94</v>
      </c>
      <c r="F46" s="63" t="s">
        <v>376</v>
      </c>
      <c r="G46" s="63" t="s">
        <v>355</v>
      </c>
      <c r="H46" s="62" t="s">
        <v>45</v>
      </c>
      <c r="I46" s="63"/>
      <c r="J46" s="77" t="s">
        <v>395</v>
      </c>
      <c r="K46" s="63" t="s">
        <v>358</v>
      </c>
      <c r="L46" s="62"/>
      <c r="M46" s="62"/>
      <c r="N46" s="73" t="str">
        <f t="shared" si="3"/>
        <v>Standard</v>
      </c>
      <c r="O46" s="73" t="str">
        <f t="shared" si="4"/>
        <v>Standard</v>
      </c>
      <c r="P46" s="73" t="str">
        <f t="shared" si="5"/>
        <v>Lead Generation and Management</v>
      </c>
    </row>
    <row r="47" spans="1:16" ht="66.75" hidden="1" customHeight="1">
      <c r="A47" s="62">
        <v>45</v>
      </c>
      <c r="B47" s="63" t="s">
        <v>15</v>
      </c>
      <c r="C47" s="63" t="s">
        <v>24</v>
      </c>
      <c r="D47" s="63" t="s">
        <v>91</v>
      </c>
      <c r="E47" s="78" t="s">
        <v>95</v>
      </c>
      <c r="F47" s="63" t="s">
        <v>376</v>
      </c>
      <c r="G47" s="63" t="s">
        <v>355</v>
      </c>
      <c r="H47" s="62" t="s">
        <v>45</v>
      </c>
      <c r="I47" s="63"/>
      <c r="J47" s="77" t="s">
        <v>395</v>
      </c>
      <c r="K47" s="63" t="s">
        <v>358</v>
      </c>
      <c r="L47" s="62"/>
      <c r="M47" s="62"/>
      <c r="N47" s="73" t="str">
        <f t="shared" si="3"/>
        <v>Standard</v>
      </c>
      <c r="O47" s="73" t="str">
        <f t="shared" si="4"/>
        <v>Standard</v>
      </c>
      <c r="P47" s="73" t="str">
        <f t="shared" si="5"/>
        <v>Lead Generation and Management</v>
      </c>
    </row>
    <row r="48" spans="1:16" ht="40.799999999999997" hidden="1">
      <c r="A48" s="62">
        <v>46</v>
      </c>
      <c r="B48" s="63" t="s">
        <v>15</v>
      </c>
      <c r="C48" s="63" t="s">
        <v>25</v>
      </c>
      <c r="D48" s="63" t="s">
        <v>91</v>
      </c>
      <c r="E48" s="78" t="s">
        <v>96</v>
      </c>
      <c r="F48" s="63" t="s">
        <v>376</v>
      </c>
      <c r="G48" s="63" t="s">
        <v>355</v>
      </c>
      <c r="H48" s="62" t="s">
        <v>45</v>
      </c>
      <c r="I48" s="63"/>
      <c r="J48" s="77" t="s">
        <v>395</v>
      </c>
      <c r="K48" s="63" t="s">
        <v>358</v>
      </c>
      <c r="L48" s="62"/>
      <c r="M48" s="62"/>
      <c r="N48" s="73" t="str">
        <f t="shared" si="3"/>
        <v>Standard</v>
      </c>
      <c r="O48" s="73" t="str">
        <f t="shared" si="4"/>
        <v>Standard</v>
      </c>
      <c r="P48" s="73" t="str">
        <f t="shared" si="5"/>
        <v>Needs Analysis</v>
      </c>
    </row>
    <row r="49" spans="1:16" ht="40.799999999999997" hidden="1">
      <c r="A49" s="62">
        <v>47</v>
      </c>
      <c r="B49" s="63" t="s">
        <v>15</v>
      </c>
      <c r="C49" s="63" t="s">
        <v>25</v>
      </c>
      <c r="D49" s="63" t="s">
        <v>91</v>
      </c>
      <c r="E49" s="78" t="s">
        <v>97</v>
      </c>
      <c r="F49" s="63" t="s">
        <v>376</v>
      </c>
      <c r="G49" s="63" t="s">
        <v>355</v>
      </c>
      <c r="H49" s="62" t="s">
        <v>45</v>
      </c>
      <c r="I49" s="63"/>
      <c r="J49" s="77" t="s">
        <v>395</v>
      </c>
      <c r="K49" s="63" t="s">
        <v>358</v>
      </c>
      <c r="L49" s="62"/>
      <c r="M49" s="62"/>
      <c r="N49" s="73" t="str">
        <f t="shared" si="3"/>
        <v>Standard</v>
      </c>
      <c r="O49" s="73" t="str">
        <f t="shared" si="4"/>
        <v>Standard</v>
      </c>
      <c r="P49" s="73" t="str">
        <f t="shared" si="5"/>
        <v>Needs Analysis</v>
      </c>
    </row>
    <row r="50" spans="1:16" ht="61.2" hidden="1">
      <c r="A50" s="62">
        <v>48</v>
      </c>
      <c r="B50" s="63" t="s">
        <v>15</v>
      </c>
      <c r="C50" s="63" t="s">
        <v>25</v>
      </c>
      <c r="D50" s="63" t="s">
        <v>91</v>
      </c>
      <c r="E50" s="78" t="s">
        <v>98</v>
      </c>
      <c r="F50" s="63" t="s">
        <v>376</v>
      </c>
      <c r="G50" s="63" t="s">
        <v>355</v>
      </c>
      <c r="H50" s="62" t="s">
        <v>45</v>
      </c>
      <c r="I50" s="63"/>
      <c r="J50" s="77" t="s">
        <v>395</v>
      </c>
      <c r="K50" s="63" t="s">
        <v>358</v>
      </c>
      <c r="L50" s="62"/>
      <c r="M50" s="62"/>
      <c r="N50" s="73" t="str">
        <f t="shared" si="3"/>
        <v>Standard</v>
      </c>
      <c r="O50" s="73" t="str">
        <f t="shared" si="4"/>
        <v>Standard</v>
      </c>
      <c r="P50" s="73" t="str">
        <f t="shared" si="5"/>
        <v>Needs Analysis</v>
      </c>
    </row>
    <row r="51" spans="1:16" ht="40.799999999999997" hidden="1">
      <c r="A51" s="62">
        <v>49</v>
      </c>
      <c r="B51" s="63" t="s">
        <v>15</v>
      </c>
      <c r="C51" s="63" t="s">
        <v>27</v>
      </c>
      <c r="D51" s="63" t="s">
        <v>91</v>
      </c>
      <c r="E51" s="78" t="s">
        <v>99</v>
      </c>
      <c r="F51" s="63" t="s">
        <v>376</v>
      </c>
      <c r="G51" s="63" t="s">
        <v>355</v>
      </c>
      <c r="H51" s="62" t="s">
        <v>45</v>
      </c>
      <c r="I51" s="63"/>
      <c r="J51" s="77" t="s">
        <v>395</v>
      </c>
      <c r="K51" s="63" t="s">
        <v>366</v>
      </c>
      <c r="L51" s="62"/>
      <c r="M51" s="62"/>
      <c r="N51" s="73" t="str">
        <f t="shared" si="3"/>
        <v>Standard</v>
      </c>
      <c r="O51" s="73" t="str">
        <f t="shared" si="4"/>
        <v>Standard</v>
      </c>
      <c r="P51" s="73" t="str">
        <f t="shared" si="5"/>
        <v>Product Presentation and Test Drive</v>
      </c>
    </row>
    <row r="52" spans="1:16" ht="40.799999999999997" hidden="1">
      <c r="A52" s="62">
        <v>50</v>
      </c>
      <c r="B52" s="63" t="s">
        <v>15</v>
      </c>
      <c r="C52" s="63" t="s">
        <v>27</v>
      </c>
      <c r="D52" s="63" t="s">
        <v>91</v>
      </c>
      <c r="E52" s="78" t="s">
        <v>100</v>
      </c>
      <c r="F52" s="63" t="s">
        <v>376</v>
      </c>
      <c r="G52" s="63" t="s">
        <v>355</v>
      </c>
      <c r="H52" s="62" t="s">
        <v>45</v>
      </c>
      <c r="I52" s="63"/>
      <c r="J52" s="77" t="s">
        <v>395</v>
      </c>
      <c r="K52" s="63" t="s">
        <v>358</v>
      </c>
      <c r="L52" s="62"/>
      <c r="M52" s="62"/>
      <c r="N52" s="73" t="str">
        <f t="shared" si="3"/>
        <v>Standard</v>
      </c>
      <c r="O52" s="73" t="str">
        <f t="shared" si="4"/>
        <v>Standard</v>
      </c>
      <c r="P52" s="73" t="str">
        <f t="shared" si="5"/>
        <v>Product Presentation and Test Drive</v>
      </c>
    </row>
    <row r="53" spans="1:16" ht="40.799999999999997" hidden="1">
      <c r="A53" s="62">
        <v>51</v>
      </c>
      <c r="B53" s="63" t="s">
        <v>15</v>
      </c>
      <c r="C53" s="63" t="s">
        <v>28</v>
      </c>
      <c r="D53" s="63" t="s">
        <v>91</v>
      </c>
      <c r="E53" s="78" t="s">
        <v>101</v>
      </c>
      <c r="F53" s="63" t="s">
        <v>376</v>
      </c>
      <c r="G53" s="63" t="s">
        <v>355</v>
      </c>
      <c r="H53" s="62" t="s">
        <v>45</v>
      </c>
      <c r="I53" s="63"/>
      <c r="J53" s="77" t="s">
        <v>395</v>
      </c>
      <c r="K53" s="63" t="s">
        <v>358</v>
      </c>
      <c r="L53" s="62"/>
      <c r="M53" s="62"/>
      <c r="N53" s="73" t="str">
        <f t="shared" si="3"/>
        <v>Standard</v>
      </c>
      <c r="O53" s="73" t="str">
        <f t="shared" si="4"/>
        <v>Standard</v>
      </c>
      <c r="P53" s="73" t="str">
        <f t="shared" si="5"/>
        <v>Deal and Closing Management</v>
      </c>
    </row>
    <row r="54" spans="1:16" ht="40.799999999999997" hidden="1">
      <c r="A54" s="62">
        <v>52</v>
      </c>
      <c r="B54" s="63" t="s">
        <v>15</v>
      </c>
      <c r="C54" s="63" t="s">
        <v>29</v>
      </c>
      <c r="D54" s="63" t="s">
        <v>91</v>
      </c>
      <c r="E54" s="78" t="s">
        <v>102</v>
      </c>
      <c r="F54" s="63" t="s">
        <v>376</v>
      </c>
      <c r="G54" s="63" t="s">
        <v>355</v>
      </c>
      <c r="H54" s="62" t="s">
        <v>45</v>
      </c>
      <c r="I54" s="63"/>
      <c r="J54" s="77" t="s">
        <v>395</v>
      </c>
      <c r="K54" s="63" t="s">
        <v>349</v>
      </c>
      <c r="L54" s="62"/>
      <c r="M54" s="62"/>
      <c r="N54" s="73" t="str">
        <f t="shared" si="3"/>
        <v>Standard</v>
      </c>
      <c r="O54" s="73" t="str">
        <f t="shared" si="4"/>
        <v>Standard</v>
      </c>
      <c r="P54" s="73" t="str">
        <f t="shared" si="5"/>
        <v>Application Process Support</v>
      </c>
    </row>
    <row r="55" spans="1:16" ht="40.799999999999997" hidden="1">
      <c r="A55" s="62">
        <v>53</v>
      </c>
      <c r="B55" s="63" t="s">
        <v>15</v>
      </c>
      <c r="C55" s="63" t="s">
        <v>29</v>
      </c>
      <c r="D55" s="63" t="s">
        <v>91</v>
      </c>
      <c r="E55" s="78" t="s">
        <v>103</v>
      </c>
      <c r="F55" s="63" t="s">
        <v>376</v>
      </c>
      <c r="G55" s="63" t="s">
        <v>355</v>
      </c>
      <c r="H55" s="62" t="s">
        <v>45</v>
      </c>
      <c r="I55" s="63"/>
      <c r="J55" s="77" t="s">
        <v>395</v>
      </c>
      <c r="K55" s="63" t="s">
        <v>358</v>
      </c>
      <c r="L55" s="62"/>
      <c r="M55" s="62"/>
      <c r="N55" s="73" t="str">
        <f t="shared" si="3"/>
        <v>Standard</v>
      </c>
      <c r="O55" s="73" t="str">
        <f t="shared" si="4"/>
        <v>Standard</v>
      </c>
      <c r="P55" s="73" t="str">
        <f t="shared" si="5"/>
        <v>Application Process Support</v>
      </c>
    </row>
    <row r="56" spans="1:16" ht="66.75" customHeight="1">
      <c r="A56" s="62">
        <v>54</v>
      </c>
      <c r="B56" s="63" t="s">
        <v>17</v>
      </c>
      <c r="C56" s="63" t="s">
        <v>24</v>
      </c>
      <c r="D56" s="63" t="s">
        <v>91</v>
      </c>
      <c r="E56" s="78" t="s">
        <v>104</v>
      </c>
      <c r="F56" s="63" t="s">
        <v>376</v>
      </c>
      <c r="G56" s="63" t="s">
        <v>355</v>
      </c>
      <c r="H56" s="62" t="s">
        <v>348</v>
      </c>
      <c r="I56" s="63"/>
      <c r="J56" s="77" t="s">
        <v>395</v>
      </c>
      <c r="K56" s="63" t="s">
        <v>358</v>
      </c>
      <c r="L56" s="62"/>
      <c r="M56" s="62"/>
      <c r="N56" s="73" t="str">
        <f t="shared" si="3"/>
        <v>Beyond</v>
      </c>
      <c r="O56" s="73" t="str">
        <f t="shared" si="4"/>
        <v>NO</v>
      </c>
      <c r="P56" s="73" t="str">
        <f t="shared" si="5"/>
        <v>NO</v>
      </c>
    </row>
    <row r="57" spans="1:16" ht="66.75" hidden="1" customHeight="1">
      <c r="A57" s="62">
        <v>55</v>
      </c>
      <c r="B57" s="63" t="s">
        <v>15</v>
      </c>
      <c r="C57" s="63" t="s">
        <v>24</v>
      </c>
      <c r="D57" s="63" t="s">
        <v>91</v>
      </c>
      <c r="E57" s="78" t="s">
        <v>105</v>
      </c>
      <c r="F57" s="63" t="s">
        <v>376</v>
      </c>
      <c r="G57" s="63" t="s">
        <v>355</v>
      </c>
      <c r="H57" s="62" t="s">
        <v>45</v>
      </c>
      <c r="I57" s="63"/>
      <c r="J57" s="77" t="s">
        <v>395</v>
      </c>
      <c r="K57" s="63" t="s">
        <v>358</v>
      </c>
      <c r="L57" s="62"/>
      <c r="M57" s="62"/>
      <c r="N57" s="73" t="str">
        <f t="shared" si="3"/>
        <v>Standard</v>
      </c>
      <c r="O57" s="73" t="str">
        <f t="shared" si="4"/>
        <v>Standard</v>
      </c>
      <c r="P57" s="73" t="str">
        <f t="shared" si="5"/>
        <v>Lead Generation and Management</v>
      </c>
    </row>
    <row r="58" spans="1:16" ht="61.2" hidden="1">
      <c r="A58" s="62">
        <v>56</v>
      </c>
      <c r="B58" s="63" t="s">
        <v>15</v>
      </c>
      <c r="C58" s="63" t="s">
        <v>28</v>
      </c>
      <c r="D58" s="63" t="s">
        <v>91</v>
      </c>
      <c r="E58" s="78" t="s">
        <v>106</v>
      </c>
      <c r="F58" s="63" t="s">
        <v>376</v>
      </c>
      <c r="G58" s="63" t="s">
        <v>355</v>
      </c>
      <c r="H58" s="62" t="s">
        <v>45</v>
      </c>
      <c r="I58" s="63"/>
      <c r="J58" s="77" t="s">
        <v>395</v>
      </c>
      <c r="K58" s="63" t="s">
        <v>358</v>
      </c>
      <c r="L58" s="62"/>
      <c r="M58" s="62"/>
      <c r="N58" s="73" t="str">
        <f t="shared" si="3"/>
        <v>Standard</v>
      </c>
      <c r="O58" s="73" t="str">
        <f t="shared" si="4"/>
        <v>Standard</v>
      </c>
      <c r="P58" s="73" t="str">
        <f t="shared" si="5"/>
        <v>Deal and Closing Management</v>
      </c>
    </row>
    <row r="59" spans="1:16" ht="40.799999999999997" hidden="1">
      <c r="A59" s="62">
        <v>57</v>
      </c>
      <c r="B59" s="63" t="s">
        <v>15</v>
      </c>
      <c r="C59" s="63" t="s">
        <v>29</v>
      </c>
      <c r="D59" s="63" t="s">
        <v>91</v>
      </c>
      <c r="E59" s="79" t="s">
        <v>107</v>
      </c>
      <c r="F59" s="63" t="s">
        <v>376</v>
      </c>
      <c r="G59" s="63" t="s">
        <v>355</v>
      </c>
      <c r="H59" s="62" t="s">
        <v>45</v>
      </c>
      <c r="I59" s="63"/>
      <c r="J59" s="77" t="s">
        <v>395</v>
      </c>
      <c r="K59" s="63" t="s">
        <v>358</v>
      </c>
      <c r="L59" s="62"/>
      <c r="M59" s="62"/>
      <c r="N59" s="73" t="str">
        <f t="shared" si="3"/>
        <v>Standard</v>
      </c>
      <c r="O59" s="73" t="str">
        <f t="shared" si="4"/>
        <v>Standard</v>
      </c>
      <c r="P59" s="73" t="str">
        <f t="shared" si="5"/>
        <v>Application Process Support</v>
      </c>
    </row>
    <row r="60" spans="1:16" s="64" customFormat="1" ht="40.799999999999997" hidden="1">
      <c r="A60" s="62">
        <v>58</v>
      </c>
      <c r="B60" s="63" t="s">
        <v>15</v>
      </c>
      <c r="C60" s="63" t="s">
        <v>31</v>
      </c>
      <c r="D60" s="63" t="s">
        <v>91</v>
      </c>
      <c r="E60" s="77" t="s">
        <v>108</v>
      </c>
      <c r="F60" s="63" t="s">
        <v>376</v>
      </c>
      <c r="G60" s="63" t="s">
        <v>355</v>
      </c>
      <c r="H60" s="62" t="s">
        <v>45</v>
      </c>
      <c r="I60" s="63"/>
      <c r="J60" s="77" t="s">
        <v>395</v>
      </c>
      <c r="K60" s="63" t="s">
        <v>358</v>
      </c>
      <c r="L60" s="62"/>
      <c r="M60" s="62"/>
      <c r="N60" s="73" t="str">
        <f t="shared" si="3"/>
        <v>Standard</v>
      </c>
      <c r="O60" s="73" t="str">
        <f t="shared" si="4"/>
        <v>Standard</v>
      </c>
      <c r="P60" s="73" t="str">
        <f t="shared" si="5"/>
        <v>Vehicle Release Management</v>
      </c>
    </row>
    <row r="61" spans="1:16" ht="61.2" hidden="1">
      <c r="A61" s="62">
        <v>59</v>
      </c>
      <c r="B61" s="63" t="s">
        <v>15</v>
      </c>
      <c r="C61" s="63" t="s">
        <v>31</v>
      </c>
      <c r="D61" s="63" t="s">
        <v>91</v>
      </c>
      <c r="E61" s="78" t="s">
        <v>109</v>
      </c>
      <c r="F61" s="63" t="s">
        <v>376</v>
      </c>
      <c r="G61" s="63" t="s">
        <v>355</v>
      </c>
      <c r="H61" s="62" t="s">
        <v>45</v>
      </c>
      <c r="I61" s="63"/>
      <c r="J61" s="77" t="s">
        <v>389</v>
      </c>
      <c r="K61" s="63" t="s">
        <v>354</v>
      </c>
      <c r="L61" s="62"/>
      <c r="M61" s="62"/>
      <c r="N61" s="73" t="str">
        <f t="shared" si="3"/>
        <v>Standard</v>
      </c>
      <c r="O61" s="73" t="str">
        <f t="shared" si="4"/>
        <v>Standard</v>
      </c>
      <c r="P61" s="73" t="str">
        <f t="shared" si="5"/>
        <v>Vehicle Release Management</v>
      </c>
    </row>
    <row r="62" spans="1:16" s="64" customFormat="1" ht="61.2">
      <c r="A62" s="62">
        <v>60</v>
      </c>
      <c r="B62" s="63" t="s">
        <v>17</v>
      </c>
      <c r="C62" s="63" t="s">
        <v>31</v>
      </c>
      <c r="D62" s="63" t="s">
        <v>91</v>
      </c>
      <c r="E62" s="77" t="s">
        <v>110</v>
      </c>
      <c r="F62" s="63" t="s">
        <v>376</v>
      </c>
      <c r="G62" s="63" t="s">
        <v>355</v>
      </c>
      <c r="H62" s="62" t="s">
        <v>348</v>
      </c>
      <c r="I62" s="63"/>
      <c r="J62" s="77" t="s">
        <v>389</v>
      </c>
      <c r="K62" s="63" t="s">
        <v>358</v>
      </c>
      <c r="L62" s="62"/>
      <c r="M62" s="62"/>
      <c r="N62" s="73" t="str">
        <f t="shared" si="3"/>
        <v>Beyond</v>
      </c>
      <c r="O62" s="73" t="str">
        <f t="shared" si="4"/>
        <v>NO</v>
      </c>
      <c r="P62" s="73" t="str">
        <f t="shared" si="5"/>
        <v>NO</v>
      </c>
    </row>
    <row r="63" spans="1:16" s="64" customFormat="1" ht="62.4" hidden="1" customHeight="1">
      <c r="A63" s="62">
        <v>61</v>
      </c>
      <c r="B63" s="63" t="s">
        <v>15</v>
      </c>
      <c r="C63" s="63" t="s">
        <v>30</v>
      </c>
      <c r="D63" s="63" t="s">
        <v>111</v>
      </c>
      <c r="E63" s="77" t="s">
        <v>112</v>
      </c>
      <c r="F63" s="63" t="s">
        <v>376</v>
      </c>
      <c r="G63" s="63" t="s">
        <v>355</v>
      </c>
      <c r="H63" s="62" t="s">
        <v>45</v>
      </c>
      <c r="I63" s="63"/>
      <c r="J63" s="77" t="s">
        <v>395</v>
      </c>
      <c r="K63" s="63" t="s">
        <v>349</v>
      </c>
      <c r="L63" s="62"/>
      <c r="M63" s="62"/>
      <c r="N63" s="73" t="str">
        <f t="shared" si="3"/>
        <v>Standard</v>
      </c>
      <c r="O63" s="73" t="str">
        <f t="shared" si="4"/>
        <v>Standard</v>
      </c>
      <c r="P63" s="73" t="str">
        <f t="shared" si="5"/>
        <v>Sales Operation Management</v>
      </c>
    </row>
    <row r="64" spans="1:16" s="64" customFormat="1" ht="61.2" hidden="1">
      <c r="A64" s="62">
        <v>62</v>
      </c>
      <c r="B64" s="63" t="s">
        <v>15</v>
      </c>
      <c r="C64" s="63" t="s">
        <v>30</v>
      </c>
      <c r="D64" s="63" t="s">
        <v>111</v>
      </c>
      <c r="E64" s="77" t="s">
        <v>113</v>
      </c>
      <c r="F64" s="63" t="s">
        <v>376</v>
      </c>
      <c r="G64" s="63" t="s">
        <v>355</v>
      </c>
      <c r="H64" s="62" t="s">
        <v>45</v>
      </c>
      <c r="I64" s="63"/>
      <c r="J64" s="77" t="s">
        <v>395</v>
      </c>
      <c r="K64" s="63" t="s">
        <v>358</v>
      </c>
      <c r="L64" s="62"/>
      <c r="M64" s="62"/>
      <c r="N64" s="73" t="str">
        <f t="shared" si="3"/>
        <v>Standard</v>
      </c>
      <c r="O64" s="73" t="str">
        <f t="shared" si="4"/>
        <v>Standard</v>
      </c>
      <c r="P64" s="73" t="str">
        <f t="shared" si="5"/>
        <v>Sales Operation Management</v>
      </c>
    </row>
    <row r="65" spans="1:19" s="64" customFormat="1" ht="40.799999999999997" hidden="1">
      <c r="A65" s="62">
        <v>63</v>
      </c>
      <c r="B65" s="63" t="s">
        <v>15</v>
      </c>
      <c r="C65" s="63" t="s">
        <v>30</v>
      </c>
      <c r="D65" s="63" t="s">
        <v>111</v>
      </c>
      <c r="E65" s="77" t="s">
        <v>114</v>
      </c>
      <c r="F65" s="63" t="s">
        <v>376</v>
      </c>
      <c r="G65" s="63" t="s">
        <v>355</v>
      </c>
      <c r="H65" s="62" t="s">
        <v>45</v>
      </c>
      <c r="I65" s="63"/>
      <c r="J65" s="77" t="s">
        <v>396</v>
      </c>
      <c r="K65" s="63" t="s">
        <v>365</v>
      </c>
      <c r="L65" s="62"/>
      <c r="M65" s="62"/>
      <c r="N65" s="73" t="str">
        <f t="shared" si="3"/>
        <v>Standard</v>
      </c>
      <c r="O65" s="73" t="str">
        <f t="shared" si="4"/>
        <v>Standard</v>
      </c>
      <c r="P65" s="73" t="str">
        <f t="shared" si="5"/>
        <v>Sales Operation Management</v>
      </c>
    </row>
    <row r="66" spans="1:19" s="64" customFormat="1" ht="244.8" hidden="1">
      <c r="A66" s="62">
        <v>64</v>
      </c>
      <c r="B66" s="63" t="s">
        <v>15</v>
      </c>
      <c r="C66" s="63" t="s">
        <v>31</v>
      </c>
      <c r="D66" s="63" t="s">
        <v>111</v>
      </c>
      <c r="E66" s="77" t="s">
        <v>397</v>
      </c>
      <c r="F66" s="63" t="s">
        <v>376</v>
      </c>
      <c r="G66" s="63" t="s">
        <v>355</v>
      </c>
      <c r="H66" s="62" t="s">
        <v>45</v>
      </c>
      <c r="I66" s="63"/>
      <c r="J66" s="77" t="s">
        <v>389</v>
      </c>
      <c r="K66" s="63" t="s">
        <v>354</v>
      </c>
      <c r="L66" s="62"/>
      <c r="M66" s="62"/>
      <c r="N66" s="73" t="str">
        <f t="shared" si="3"/>
        <v>Standard</v>
      </c>
      <c r="O66" s="73" t="str">
        <f t="shared" si="4"/>
        <v>Standard</v>
      </c>
      <c r="P66" s="73" t="str">
        <f t="shared" si="5"/>
        <v>Vehicle Release Management</v>
      </c>
    </row>
    <row r="67" spans="1:19" s="64" customFormat="1" ht="82.5" hidden="1" customHeight="1">
      <c r="A67" s="62">
        <v>65</v>
      </c>
      <c r="B67" s="63" t="s">
        <v>15</v>
      </c>
      <c r="C67" s="63" t="s">
        <v>31</v>
      </c>
      <c r="D67" s="63" t="s">
        <v>111</v>
      </c>
      <c r="E67" s="77" t="s">
        <v>116</v>
      </c>
      <c r="F67" s="63" t="s">
        <v>376</v>
      </c>
      <c r="G67" s="63" t="s">
        <v>355</v>
      </c>
      <c r="H67" s="62" t="s">
        <v>45</v>
      </c>
      <c r="I67" s="63"/>
      <c r="J67" s="77" t="s">
        <v>398</v>
      </c>
      <c r="K67" s="63" t="s">
        <v>363</v>
      </c>
      <c r="L67" s="62"/>
      <c r="M67" s="62"/>
      <c r="N67" s="73" t="str">
        <f t="shared" ref="N67:N92" si="6">IF(NOT(H67="N/A"),B67,"N/A")</f>
        <v>Standard</v>
      </c>
      <c r="O67" s="73" t="str">
        <f t="shared" ref="O67:O92" si="7">IF(H67="YES",B67,IF(H67="N/A","N/A","NO"))</f>
        <v>Standard</v>
      </c>
      <c r="P67" s="73" t="str">
        <f t="shared" ref="P67:P92" si="8">IF(H67="YES",C67,IF(H67="N/A","N/A","NO"))</f>
        <v>Vehicle Release Management</v>
      </c>
    </row>
    <row r="68" spans="1:19" s="64" customFormat="1" ht="114.6" hidden="1" customHeight="1">
      <c r="A68" s="62">
        <v>66</v>
      </c>
      <c r="B68" s="63" t="s">
        <v>15</v>
      </c>
      <c r="C68" s="63" t="s">
        <v>31</v>
      </c>
      <c r="D68" s="63" t="s">
        <v>111</v>
      </c>
      <c r="E68" s="77" t="s">
        <v>117</v>
      </c>
      <c r="F68" s="63" t="s">
        <v>376</v>
      </c>
      <c r="G68" s="63" t="s">
        <v>355</v>
      </c>
      <c r="H68" s="62" t="s">
        <v>45</v>
      </c>
      <c r="I68" s="63"/>
      <c r="J68" s="77" t="s">
        <v>399</v>
      </c>
      <c r="K68" s="63" t="s">
        <v>363</v>
      </c>
      <c r="L68" s="62"/>
      <c r="M68" s="62"/>
      <c r="N68" s="73" t="str">
        <f t="shared" si="6"/>
        <v>Standard</v>
      </c>
      <c r="O68" s="73" t="str">
        <f t="shared" si="7"/>
        <v>Standard</v>
      </c>
      <c r="P68" s="73" t="str">
        <f t="shared" si="8"/>
        <v>Vehicle Release Management</v>
      </c>
    </row>
    <row r="69" spans="1:19" s="64" customFormat="1" ht="81.599999999999994" hidden="1" customHeight="1">
      <c r="A69" s="62">
        <v>67</v>
      </c>
      <c r="B69" s="63" t="s">
        <v>15</v>
      </c>
      <c r="C69" s="63" t="s">
        <v>31</v>
      </c>
      <c r="D69" s="63" t="s">
        <v>118</v>
      </c>
      <c r="E69" s="77" t="s">
        <v>119</v>
      </c>
      <c r="F69" s="63" t="s">
        <v>376</v>
      </c>
      <c r="G69" s="63" t="s">
        <v>355</v>
      </c>
      <c r="H69" s="62" t="s">
        <v>45</v>
      </c>
      <c r="I69" s="63"/>
      <c r="J69" s="77" t="s">
        <v>400</v>
      </c>
      <c r="K69" s="63" t="s">
        <v>358</v>
      </c>
      <c r="L69" s="62"/>
      <c r="M69" s="62"/>
      <c r="N69" s="73" t="str">
        <f t="shared" si="6"/>
        <v>Standard</v>
      </c>
      <c r="O69" s="73" t="str">
        <f t="shared" si="7"/>
        <v>Standard</v>
      </c>
      <c r="P69" s="73" t="str">
        <f t="shared" si="8"/>
        <v>Vehicle Release Management</v>
      </c>
    </row>
    <row r="70" spans="1:19" s="64" customFormat="1" ht="61.2" hidden="1">
      <c r="A70" s="62">
        <v>68</v>
      </c>
      <c r="B70" s="63" t="s">
        <v>15</v>
      </c>
      <c r="C70" s="63" t="s">
        <v>31</v>
      </c>
      <c r="D70" s="63" t="s">
        <v>118</v>
      </c>
      <c r="E70" s="77" t="s">
        <v>120</v>
      </c>
      <c r="F70" s="63" t="s">
        <v>376</v>
      </c>
      <c r="G70" s="63" t="s">
        <v>355</v>
      </c>
      <c r="H70" s="62" t="s">
        <v>45</v>
      </c>
      <c r="I70" s="63"/>
      <c r="J70" s="77" t="s">
        <v>394</v>
      </c>
      <c r="K70" s="63" t="s">
        <v>354</v>
      </c>
      <c r="L70" s="62"/>
      <c r="M70" s="62"/>
      <c r="N70" s="73" t="str">
        <f t="shared" si="6"/>
        <v>Standard</v>
      </c>
      <c r="O70" s="73" t="str">
        <f t="shared" si="7"/>
        <v>Standard</v>
      </c>
      <c r="P70" s="73" t="str">
        <f t="shared" si="8"/>
        <v>Vehicle Release Management</v>
      </c>
    </row>
    <row r="71" spans="1:19" s="64" customFormat="1" ht="92.4" customHeight="1">
      <c r="A71" s="62">
        <v>69</v>
      </c>
      <c r="B71" s="63" t="s">
        <v>17</v>
      </c>
      <c r="C71" s="63" t="s">
        <v>31</v>
      </c>
      <c r="D71" s="63" t="s">
        <v>118</v>
      </c>
      <c r="E71" s="77" t="s">
        <v>121</v>
      </c>
      <c r="F71" s="63" t="s">
        <v>376</v>
      </c>
      <c r="G71" s="63" t="s">
        <v>355</v>
      </c>
      <c r="H71" s="62" t="s">
        <v>348</v>
      </c>
      <c r="I71" s="63"/>
      <c r="J71" s="63"/>
      <c r="K71" s="63" t="s">
        <v>358</v>
      </c>
      <c r="L71" s="62"/>
      <c r="M71" s="62"/>
      <c r="N71" s="73" t="str">
        <f t="shared" si="6"/>
        <v>Beyond</v>
      </c>
      <c r="O71" s="73" t="str">
        <f t="shared" si="7"/>
        <v>NO</v>
      </c>
      <c r="P71" s="73" t="str">
        <f t="shared" si="8"/>
        <v>NO</v>
      </c>
      <c r="S71" s="64" t="s">
        <v>369</v>
      </c>
    </row>
    <row r="72" spans="1:19" s="64" customFormat="1" ht="66.75" hidden="1" customHeight="1">
      <c r="A72" s="62">
        <v>70</v>
      </c>
      <c r="B72" s="63" t="s">
        <v>15</v>
      </c>
      <c r="C72" s="63" t="s">
        <v>24</v>
      </c>
      <c r="D72" s="63" t="s">
        <v>122</v>
      </c>
      <c r="E72" s="77" t="s">
        <v>123</v>
      </c>
      <c r="F72" s="63" t="s">
        <v>376</v>
      </c>
      <c r="G72" s="63" t="s">
        <v>355</v>
      </c>
      <c r="H72" s="62" t="s">
        <v>45</v>
      </c>
      <c r="I72" s="63"/>
      <c r="J72" s="77" t="s">
        <v>395</v>
      </c>
      <c r="K72" s="63" t="s">
        <v>363</v>
      </c>
      <c r="L72" s="62"/>
      <c r="M72" s="62"/>
      <c r="N72" s="73" t="str">
        <f t="shared" si="6"/>
        <v>Standard</v>
      </c>
      <c r="O72" s="73" t="str">
        <f t="shared" si="7"/>
        <v>Standard</v>
      </c>
      <c r="P72" s="73" t="str">
        <f t="shared" si="8"/>
        <v>Lead Generation and Management</v>
      </c>
      <c r="S72" s="64" t="s">
        <v>370</v>
      </c>
    </row>
    <row r="73" spans="1:19" s="64" customFormat="1" ht="66.75" customHeight="1">
      <c r="A73" s="62">
        <v>71</v>
      </c>
      <c r="B73" s="63" t="s">
        <v>17</v>
      </c>
      <c r="C73" s="63" t="s">
        <v>24</v>
      </c>
      <c r="D73" s="63" t="s">
        <v>122</v>
      </c>
      <c r="E73" s="77" t="s">
        <v>124</v>
      </c>
      <c r="F73" s="63" t="s">
        <v>376</v>
      </c>
      <c r="G73" s="63" t="s">
        <v>355</v>
      </c>
      <c r="H73" s="62" t="s">
        <v>348</v>
      </c>
      <c r="I73" s="63"/>
      <c r="J73" s="77" t="s">
        <v>395</v>
      </c>
      <c r="K73" s="63"/>
      <c r="L73" s="62"/>
      <c r="M73" s="62"/>
      <c r="N73" s="73" t="str">
        <f t="shared" si="6"/>
        <v>Beyond</v>
      </c>
      <c r="O73" s="73" t="str">
        <f t="shared" si="7"/>
        <v>NO</v>
      </c>
      <c r="P73" s="73" t="str">
        <f t="shared" si="8"/>
        <v>NO</v>
      </c>
    </row>
    <row r="74" spans="1:19" s="64" customFormat="1" ht="66" hidden="1" customHeight="1">
      <c r="A74" s="62">
        <v>72</v>
      </c>
      <c r="B74" s="63" t="s">
        <v>15</v>
      </c>
      <c r="C74" s="63" t="s">
        <v>31</v>
      </c>
      <c r="D74" s="63" t="s">
        <v>122</v>
      </c>
      <c r="E74" s="77" t="s">
        <v>125</v>
      </c>
      <c r="F74" s="63" t="s">
        <v>376</v>
      </c>
      <c r="G74" s="63" t="s">
        <v>355</v>
      </c>
      <c r="H74" s="62" t="s">
        <v>45</v>
      </c>
      <c r="I74" s="63"/>
      <c r="J74" s="77" t="s">
        <v>402</v>
      </c>
      <c r="K74" s="63" t="s">
        <v>368</v>
      </c>
      <c r="L74" s="62"/>
      <c r="M74" s="62"/>
      <c r="N74" s="73" t="str">
        <f t="shared" si="6"/>
        <v>Standard</v>
      </c>
      <c r="O74" s="73" t="str">
        <f t="shared" si="7"/>
        <v>Standard</v>
      </c>
      <c r="P74" s="73" t="str">
        <f t="shared" si="8"/>
        <v>Vehicle Release Management</v>
      </c>
    </row>
    <row r="75" spans="1:19" s="64" customFormat="1" ht="66" hidden="1" customHeight="1">
      <c r="A75" s="62">
        <v>73</v>
      </c>
      <c r="B75" s="63" t="s">
        <v>15</v>
      </c>
      <c r="C75" s="63" t="s">
        <v>31</v>
      </c>
      <c r="D75" s="63" t="s">
        <v>122</v>
      </c>
      <c r="E75" s="77" t="s">
        <v>126</v>
      </c>
      <c r="F75" s="63" t="s">
        <v>376</v>
      </c>
      <c r="G75" s="63" t="s">
        <v>355</v>
      </c>
      <c r="H75" s="62" t="s">
        <v>45</v>
      </c>
      <c r="I75" s="63"/>
      <c r="J75" s="77" t="s">
        <v>401</v>
      </c>
      <c r="K75" s="63" t="s">
        <v>358</v>
      </c>
      <c r="L75" s="62"/>
      <c r="M75" s="62"/>
      <c r="N75" s="73" t="str">
        <f t="shared" si="6"/>
        <v>Standard</v>
      </c>
      <c r="O75" s="73" t="str">
        <f t="shared" si="7"/>
        <v>Standard</v>
      </c>
      <c r="P75" s="73" t="str">
        <f t="shared" si="8"/>
        <v>Vehicle Release Management</v>
      </c>
    </row>
    <row r="76" spans="1:19" s="64" customFormat="1" ht="40.799999999999997" hidden="1">
      <c r="A76" s="62">
        <v>74</v>
      </c>
      <c r="B76" s="63" t="s">
        <v>15</v>
      </c>
      <c r="C76" s="63" t="s">
        <v>32</v>
      </c>
      <c r="D76" s="63" t="s">
        <v>122</v>
      </c>
      <c r="E76" s="77" t="s">
        <v>127</v>
      </c>
      <c r="F76" s="63" t="s">
        <v>376</v>
      </c>
      <c r="G76" s="63" t="s">
        <v>355</v>
      </c>
      <c r="H76" s="62" t="s">
        <v>45</v>
      </c>
      <c r="I76" s="63"/>
      <c r="J76" s="77" t="s">
        <v>396</v>
      </c>
      <c r="K76" s="63" t="s">
        <v>359</v>
      </c>
      <c r="L76" s="62"/>
      <c r="M76" s="62"/>
      <c r="N76" s="73" t="str">
        <f t="shared" si="6"/>
        <v>Standard</v>
      </c>
      <c r="O76" s="73" t="str">
        <f t="shared" si="7"/>
        <v>Standard</v>
      </c>
      <c r="P76" s="73" t="str">
        <f t="shared" si="8"/>
        <v>Post-Release Customer Management</v>
      </c>
    </row>
    <row r="77" spans="1:19" s="64" customFormat="1" ht="40.799999999999997" hidden="1">
      <c r="A77" s="62">
        <v>75</v>
      </c>
      <c r="B77" s="63" t="s">
        <v>15</v>
      </c>
      <c r="C77" s="63" t="s">
        <v>32</v>
      </c>
      <c r="D77" s="63" t="s">
        <v>122</v>
      </c>
      <c r="E77" s="77" t="s">
        <v>128</v>
      </c>
      <c r="F77" s="63" t="s">
        <v>376</v>
      </c>
      <c r="G77" s="63" t="s">
        <v>355</v>
      </c>
      <c r="H77" s="62" t="s">
        <v>45</v>
      </c>
      <c r="I77" s="63"/>
      <c r="J77" s="63"/>
      <c r="K77" s="63" t="s">
        <v>359</v>
      </c>
      <c r="L77" s="62"/>
      <c r="M77" s="62"/>
      <c r="N77" s="73" t="str">
        <f t="shared" si="6"/>
        <v>Standard</v>
      </c>
      <c r="O77" s="73" t="str">
        <f t="shared" si="7"/>
        <v>Standard</v>
      </c>
      <c r="P77" s="73" t="str">
        <f t="shared" si="8"/>
        <v>Post-Release Customer Management</v>
      </c>
    </row>
    <row r="78" spans="1:19" ht="40.799999999999997" hidden="1">
      <c r="A78" s="62">
        <v>76</v>
      </c>
      <c r="B78" s="63" t="s">
        <v>15</v>
      </c>
      <c r="C78" s="63" t="s">
        <v>30</v>
      </c>
      <c r="D78" s="63" t="s">
        <v>122</v>
      </c>
      <c r="E78" s="78" t="s">
        <v>129</v>
      </c>
      <c r="F78" s="63" t="s">
        <v>376</v>
      </c>
      <c r="G78" s="63" t="s">
        <v>355</v>
      </c>
      <c r="H78" s="62" t="s">
        <v>45</v>
      </c>
      <c r="I78" s="63"/>
      <c r="J78" s="77" t="s">
        <v>395</v>
      </c>
      <c r="K78" s="63"/>
      <c r="L78" s="62"/>
      <c r="M78" s="62"/>
      <c r="N78" s="73" t="str">
        <f t="shared" si="6"/>
        <v>Standard</v>
      </c>
      <c r="O78" s="73" t="str">
        <f t="shared" si="7"/>
        <v>Standard</v>
      </c>
      <c r="P78" s="73" t="str">
        <f t="shared" si="8"/>
        <v>Sales Operation Management</v>
      </c>
    </row>
    <row r="79" spans="1:19" s="64" customFormat="1" ht="40.799999999999997" hidden="1">
      <c r="A79" s="62">
        <v>77</v>
      </c>
      <c r="B79" s="63" t="s">
        <v>15</v>
      </c>
      <c r="C79" s="63" t="s">
        <v>22</v>
      </c>
      <c r="D79" s="63" t="s">
        <v>130</v>
      </c>
      <c r="E79" s="77" t="s">
        <v>131</v>
      </c>
      <c r="F79" s="63" t="s">
        <v>376</v>
      </c>
      <c r="G79" s="63" t="s">
        <v>355</v>
      </c>
      <c r="H79" s="62" t="s">
        <v>45</v>
      </c>
      <c r="I79" s="63"/>
      <c r="J79" s="77" t="s">
        <v>379</v>
      </c>
      <c r="K79" s="63" t="s">
        <v>363</v>
      </c>
      <c r="L79" s="62"/>
      <c r="M79" s="62"/>
      <c r="N79" s="73" t="str">
        <f t="shared" si="6"/>
        <v>Standard</v>
      </c>
      <c r="O79" s="73" t="str">
        <f t="shared" si="7"/>
        <v>Standard</v>
      </c>
      <c r="P79" s="73" t="str">
        <f t="shared" si="8"/>
        <v>Systems</v>
      </c>
    </row>
    <row r="80" spans="1:19" s="64" customFormat="1" ht="61.2">
      <c r="A80" s="62">
        <v>78</v>
      </c>
      <c r="B80" s="63" t="s">
        <v>17</v>
      </c>
      <c r="C80" s="63" t="s">
        <v>22</v>
      </c>
      <c r="D80" s="63" t="s">
        <v>132</v>
      </c>
      <c r="E80" s="77" t="s">
        <v>133</v>
      </c>
      <c r="F80" s="63" t="s">
        <v>376</v>
      </c>
      <c r="G80" s="63" t="s">
        <v>355</v>
      </c>
      <c r="H80" s="62" t="s">
        <v>348</v>
      </c>
      <c r="I80" s="63"/>
      <c r="J80" s="77"/>
      <c r="K80" s="63" t="s">
        <v>366</v>
      </c>
      <c r="L80" s="62"/>
      <c r="M80" s="62"/>
      <c r="N80" s="73" t="str">
        <f t="shared" si="6"/>
        <v>Beyond</v>
      </c>
      <c r="O80" s="73" t="str">
        <f t="shared" si="7"/>
        <v>NO</v>
      </c>
      <c r="P80" s="73" t="str">
        <f t="shared" si="8"/>
        <v>NO</v>
      </c>
    </row>
    <row r="81" spans="1:16" s="64" customFormat="1" ht="102" hidden="1">
      <c r="A81" s="62">
        <v>79</v>
      </c>
      <c r="B81" s="63" t="s">
        <v>15</v>
      </c>
      <c r="C81" s="63" t="s">
        <v>22</v>
      </c>
      <c r="D81" s="63" t="s">
        <v>134</v>
      </c>
      <c r="E81" s="77" t="s">
        <v>135</v>
      </c>
      <c r="F81" s="63" t="s">
        <v>376</v>
      </c>
      <c r="G81" s="63" t="s">
        <v>355</v>
      </c>
      <c r="H81" s="62" t="s">
        <v>45</v>
      </c>
      <c r="I81" s="63"/>
      <c r="J81" s="77" t="s">
        <v>403</v>
      </c>
      <c r="K81" s="63" t="s">
        <v>367</v>
      </c>
      <c r="L81" s="62"/>
      <c r="M81" s="62"/>
      <c r="N81" s="73" t="str">
        <f t="shared" si="6"/>
        <v>Standard</v>
      </c>
      <c r="O81" s="73" t="str">
        <f t="shared" si="7"/>
        <v>Standard</v>
      </c>
      <c r="P81" s="73" t="str">
        <f t="shared" si="8"/>
        <v>Systems</v>
      </c>
    </row>
    <row r="82" spans="1:16" s="64" customFormat="1" ht="102" hidden="1">
      <c r="A82" s="62">
        <v>80</v>
      </c>
      <c r="B82" s="63" t="s">
        <v>15</v>
      </c>
      <c r="C82" s="63" t="s">
        <v>22</v>
      </c>
      <c r="D82" s="63" t="s">
        <v>134</v>
      </c>
      <c r="E82" s="77" t="s">
        <v>136</v>
      </c>
      <c r="F82" s="63" t="s">
        <v>376</v>
      </c>
      <c r="G82" s="63" t="s">
        <v>355</v>
      </c>
      <c r="H82" s="62" t="s">
        <v>348</v>
      </c>
      <c r="I82" s="63"/>
      <c r="J82" s="77" t="s">
        <v>404</v>
      </c>
      <c r="K82" s="63" t="s">
        <v>367</v>
      </c>
      <c r="L82" s="62"/>
      <c r="M82" s="62"/>
      <c r="N82" s="73" t="str">
        <f>IF(NOT(H82="N/A"),B82,"N/A")</f>
        <v>Standard</v>
      </c>
      <c r="O82" s="73" t="str">
        <f>IF(H82="YES",B82,IF(H82="N/A","N/A","NO"))</f>
        <v>NO</v>
      </c>
      <c r="P82" s="73" t="str">
        <f>IF(H82="YES",C82,IF(H82="N/A","N/A","NO"))</f>
        <v>NO</v>
      </c>
    </row>
    <row r="83" spans="1:16" s="64" customFormat="1" ht="40.799999999999997" hidden="1">
      <c r="A83" s="62">
        <v>81</v>
      </c>
      <c r="B83" s="63" t="s">
        <v>15</v>
      </c>
      <c r="C83" s="63" t="s">
        <v>32</v>
      </c>
      <c r="D83" s="63" t="s">
        <v>137</v>
      </c>
      <c r="E83" s="77" t="s">
        <v>138</v>
      </c>
      <c r="F83" s="63" t="s">
        <v>376</v>
      </c>
      <c r="G83" s="63" t="s">
        <v>355</v>
      </c>
      <c r="H83" s="62" t="s">
        <v>348</v>
      </c>
      <c r="I83" s="63"/>
      <c r="J83" s="63"/>
      <c r="K83" s="63" t="s">
        <v>359</v>
      </c>
      <c r="L83" s="62"/>
      <c r="M83" s="62"/>
      <c r="N83" s="73" t="str">
        <f>IF(NOT(H83="N/A"),B83,"N/A")</f>
        <v>Standard</v>
      </c>
      <c r="O83" s="73" t="str">
        <f>IF(H83="YES",B83,IF(H83="N/A","N/A","NO"))</f>
        <v>NO</v>
      </c>
      <c r="P83" s="73" t="str">
        <f>IF(H83="YES",C83,IF(H83="N/A","N/A","NO"))</f>
        <v>NO</v>
      </c>
    </row>
    <row r="84" spans="1:16" s="64" customFormat="1" ht="40.799999999999997" hidden="1">
      <c r="A84" s="62">
        <v>82</v>
      </c>
      <c r="B84" s="63" t="s">
        <v>15</v>
      </c>
      <c r="C84" s="63" t="s">
        <v>33</v>
      </c>
      <c r="D84" s="63" t="s">
        <v>139</v>
      </c>
      <c r="E84" s="77" t="s">
        <v>140</v>
      </c>
      <c r="F84" s="63" t="s">
        <v>376</v>
      </c>
      <c r="G84" s="63" t="s">
        <v>355</v>
      </c>
      <c r="H84" s="62" t="s">
        <v>348</v>
      </c>
      <c r="I84" s="63"/>
      <c r="J84" s="63"/>
      <c r="K84" s="63" t="s">
        <v>363</v>
      </c>
      <c r="L84" s="62"/>
      <c r="M84" s="62"/>
      <c r="N84" s="73" t="str">
        <f>IF(NOT(H84="N/A"),B84,"N/A")</f>
        <v>Standard</v>
      </c>
      <c r="O84" s="73" t="str">
        <f>IF(H84="YES",B84,IF(H84="N/A","N/A","NO"))</f>
        <v>NO</v>
      </c>
      <c r="P84" s="73" t="str">
        <f>IF(H84="YES",C84,IF(H84="N/A","N/A","NO"))</f>
        <v>NO</v>
      </c>
    </row>
    <row r="85" spans="1:16" s="64" customFormat="1" ht="102" hidden="1">
      <c r="A85" s="62">
        <v>83</v>
      </c>
      <c r="B85" s="63" t="s">
        <v>15</v>
      </c>
      <c r="C85" s="63" t="s">
        <v>33</v>
      </c>
      <c r="D85" s="63" t="s">
        <v>141</v>
      </c>
      <c r="E85" s="77" t="s">
        <v>142</v>
      </c>
      <c r="F85" s="63" t="s">
        <v>376</v>
      </c>
      <c r="G85" s="63" t="s">
        <v>355</v>
      </c>
      <c r="H85" s="62" t="s">
        <v>348</v>
      </c>
      <c r="I85" s="63"/>
      <c r="J85" s="77" t="s">
        <v>405</v>
      </c>
      <c r="K85" s="63" t="s">
        <v>363</v>
      </c>
      <c r="L85" s="62"/>
      <c r="M85" s="62"/>
      <c r="N85" s="73" t="str">
        <f>IF(NOT(H85="N/A"),B85,"N/A")</f>
        <v>Standard</v>
      </c>
      <c r="O85" s="73" t="str">
        <f>IF(H85="YES",B85,IF(H85="N/A","N/A","NO"))</f>
        <v>NO</v>
      </c>
      <c r="P85" s="73" t="str">
        <f>IF(H85="YES",C85,IF(H85="N/A","N/A","NO"))</f>
        <v>NO</v>
      </c>
    </row>
    <row r="86" spans="1:16" s="64" customFormat="1" ht="60.9" hidden="1" customHeight="1">
      <c r="A86" s="62">
        <v>84</v>
      </c>
      <c r="B86" s="63" t="s">
        <v>15</v>
      </c>
      <c r="C86" s="63" t="s">
        <v>33</v>
      </c>
      <c r="D86" s="63" t="s">
        <v>143</v>
      </c>
      <c r="E86" s="77" t="s">
        <v>144</v>
      </c>
      <c r="F86" s="63" t="s">
        <v>376</v>
      </c>
      <c r="G86" s="63" t="s">
        <v>355</v>
      </c>
      <c r="H86" s="62" t="s">
        <v>348</v>
      </c>
      <c r="I86" s="63"/>
      <c r="J86" s="77" t="s">
        <v>405</v>
      </c>
      <c r="K86" s="63" t="s">
        <v>363</v>
      </c>
      <c r="L86" s="62"/>
      <c r="M86" s="62"/>
      <c r="N86" s="73" t="str">
        <f>IF(NOT(H86="N/A"),B86,"N/A")</f>
        <v>Standard</v>
      </c>
      <c r="O86" s="73" t="str">
        <f>IF(H86="YES",B86,IF(H86="N/A","N/A","NO"))</f>
        <v>NO</v>
      </c>
      <c r="P86" s="73" t="str">
        <f>IF(H86="YES",C86,IF(H86="N/A","N/A","NO"))</f>
        <v>NO</v>
      </c>
    </row>
    <row r="87" spans="1:16" s="64" customFormat="1" ht="40.799999999999997" hidden="1">
      <c r="A87" s="62">
        <v>85</v>
      </c>
      <c r="B87" s="63" t="s">
        <v>15</v>
      </c>
      <c r="C87" s="63" t="s">
        <v>33</v>
      </c>
      <c r="D87" s="63" t="s">
        <v>145</v>
      </c>
      <c r="E87" s="77" t="s">
        <v>146</v>
      </c>
      <c r="F87" s="63" t="s">
        <v>376</v>
      </c>
      <c r="G87" s="63" t="s">
        <v>355</v>
      </c>
      <c r="H87" s="62" t="s">
        <v>348</v>
      </c>
      <c r="I87" s="63"/>
      <c r="J87" s="63"/>
      <c r="K87" s="63" t="s">
        <v>363</v>
      </c>
      <c r="L87" s="62"/>
      <c r="M87" s="62"/>
      <c r="N87" s="73" t="str">
        <f>IF(NOT(H87="N/A"),B87,"N/A")</f>
        <v>Standard</v>
      </c>
      <c r="O87" s="73" t="str">
        <f>IF(H87="YES",B87,IF(H87="N/A","N/A","NO"))</f>
        <v>NO</v>
      </c>
      <c r="P87" s="73" t="str">
        <f>IF(H87="YES",C87,IF(H87="N/A","N/A","NO"))</f>
        <v>NO</v>
      </c>
    </row>
    <row r="88" spans="1:16" s="64" customFormat="1" ht="102" hidden="1">
      <c r="A88" s="62">
        <v>86</v>
      </c>
      <c r="B88" s="63" t="s">
        <v>15</v>
      </c>
      <c r="C88" s="63" t="s">
        <v>33</v>
      </c>
      <c r="D88" s="63" t="s">
        <v>147</v>
      </c>
      <c r="E88" s="77" t="s">
        <v>148</v>
      </c>
      <c r="F88" s="63" t="s">
        <v>376</v>
      </c>
      <c r="G88" s="63" t="s">
        <v>355</v>
      </c>
      <c r="H88" s="62" t="s">
        <v>348</v>
      </c>
      <c r="I88" s="63"/>
      <c r="J88" s="77" t="s">
        <v>406</v>
      </c>
      <c r="K88" s="63" t="s">
        <v>363</v>
      </c>
      <c r="L88" s="62"/>
      <c r="M88" s="62"/>
      <c r="N88" s="73" t="str">
        <f>IF(NOT(H88="N/A"),B88,"N/A")</f>
        <v>Standard</v>
      </c>
      <c r="O88" s="73" t="str">
        <f>IF(H88="YES",B88,IF(H88="N/A","N/A","NO"))</f>
        <v>NO</v>
      </c>
      <c r="P88" s="73" t="str">
        <f>IF(H88="YES",C88,IF(H88="N/A","N/A","NO"))</f>
        <v>NO</v>
      </c>
    </row>
    <row r="89" spans="1:16" s="64" customFormat="1" ht="102" hidden="1">
      <c r="A89" s="62">
        <v>87</v>
      </c>
      <c r="B89" s="63" t="s">
        <v>15</v>
      </c>
      <c r="C89" s="63" t="s">
        <v>23</v>
      </c>
      <c r="D89" s="63" t="s">
        <v>149</v>
      </c>
      <c r="E89" s="77" t="s">
        <v>150</v>
      </c>
      <c r="F89" s="63" t="s">
        <v>376</v>
      </c>
      <c r="G89" s="63" t="s">
        <v>355</v>
      </c>
      <c r="H89" s="62" t="s">
        <v>348</v>
      </c>
      <c r="I89" s="63"/>
      <c r="J89" s="63"/>
      <c r="K89" s="63" t="s">
        <v>367</v>
      </c>
      <c r="L89" s="62"/>
      <c r="M89" s="62"/>
      <c r="N89" s="73" t="str">
        <f>IF(NOT(H89="N/A"),B89,"N/A")</f>
        <v>Standard</v>
      </c>
      <c r="O89" s="73" t="str">
        <f>IF(H89="YES",B89,IF(H89="N/A","N/A","NO"))</f>
        <v>NO</v>
      </c>
      <c r="P89" s="73" t="str">
        <f>IF(H89="YES",C89,IF(H89="N/A","N/A","NO"))</f>
        <v>NO</v>
      </c>
    </row>
    <row r="90" spans="1:16" s="64" customFormat="1" ht="142.80000000000001" hidden="1">
      <c r="A90" s="62">
        <v>88</v>
      </c>
      <c r="B90" s="63" t="s">
        <v>15</v>
      </c>
      <c r="C90" s="63" t="s">
        <v>23</v>
      </c>
      <c r="D90" s="63" t="s">
        <v>149</v>
      </c>
      <c r="E90" s="77" t="s">
        <v>151</v>
      </c>
      <c r="F90" s="63" t="s">
        <v>376</v>
      </c>
      <c r="G90" s="63" t="s">
        <v>355</v>
      </c>
      <c r="H90" s="62" t="s">
        <v>45</v>
      </c>
      <c r="I90" s="63"/>
      <c r="J90" s="77" t="s">
        <v>395</v>
      </c>
      <c r="K90" s="63" t="s">
        <v>367</v>
      </c>
      <c r="L90" s="62"/>
      <c r="M90" s="62"/>
      <c r="N90" s="73" t="str">
        <f t="shared" si="6"/>
        <v>Standard</v>
      </c>
      <c r="O90" s="73" t="str">
        <f t="shared" si="7"/>
        <v>Standard</v>
      </c>
      <c r="P90" s="73" t="str">
        <f t="shared" si="8"/>
        <v>Manpower</v>
      </c>
    </row>
    <row r="91" spans="1:16" s="64" customFormat="1" ht="40.799999999999997" hidden="1">
      <c r="A91" s="62">
        <v>89</v>
      </c>
      <c r="B91" s="63" t="s">
        <v>15</v>
      </c>
      <c r="C91" s="63" t="s">
        <v>23</v>
      </c>
      <c r="D91" s="63" t="s">
        <v>152</v>
      </c>
      <c r="E91" s="77" t="s">
        <v>153</v>
      </c>
      <c r="F91" s="63" t="s">
        <v>376</v>
      </c>
      <c r="G91" s="63" t="s">
        <v>355</v>
      </c>
      <c r="H91" s="62" t="s">
        <v>45</v>
      </c>
      <c r="I91" s="63"/>
      <c r="J91" s="77" t="s">
        <v>395</v>
      </c>
      <c r="K91" s="63" t="s">
        <v>367</v>
      </c>
      <c r="L91" s="62"/>
      <c r="M91" s="62"/>
      <c r="N91" s="73" t="str">
        <f t="shared" si="6"/>
        <v>Standard</v>
      </c>
      <c r="O91" s="73" t="str">
        <f t="shared" si="7"/>
        <v>Standard</v>
      </c>
      <c r="P91" s="73" t="str">
        <f t="shared" si="8"/>
        <v>Manpower</v>
      </c>
    </row>
    <row r="92" spans="1:16" s="64" customFormat="1" ht="73.5" hidden="1" customHeight="1">
      <c r="A92" s="62">
        <v>90</v>
      </c>
      <c r="B92" s="63" t="s">
        <v>15</v>
      </c>
      <c r="C92" s="63" t="s">
        <v>23</v>
      </c>
      <c r="D92" s="63" t="s">
        <v>111</v>
      </c>
      <c r="E92" s="77" t="s">
        <v>154</v>
      </c>
      <c r="F92" s="63" t="s">
        <v>376</v>
      </c>
      <c r="G92" s="63" t="s">
        <v>355</v>
      </c>
      <c r="H92" s="62" t="s">
        <v>45</v>
      </c>
      <c r="I92" s="63"/>
      <c r="J92" s="77" t="s">
        <v>407</v>
      </c>
      <c r="K92" s="63" t="s">
        <v>367</v>
      </c>
      <c r="L92" s="62"/>
      <c r="M92" s="62"/>
      <c r="N92" s="73" t="str">
        <f t="shared" si="6"/>
        <v>Standard</v>
      </c>
      <c r="O92" s="73" t="str">
        <f t="shared" si="7"/>
        <v>Standard</v>
      </c>
      <c r="P92" s="73" t="str">
        <f t="shared" si="8"/>
        <v>Manpower</v>
      </c>
    </row>
    <row r="93" spans="1:16" ht="21">
      <c r="A93" s="62"/>
      <c r="B93" s="63" t="s">
        <v>8</v>
      </c>
      <c r="C93" s="63"/>
      <c r="D93" s="63"/>
      <c r="E93" s="77"/>
      <c r="F93" s="63"/>
      <c r="G93" s="63"/>
      <c r="H93" s="62"/>
      <c r="I93" s="63"/>
      <c r="J93" s="63"/>
      <c r="K93" s="63"/>
      <c r="L93" s="60"/>
      <c r="N93" s="56"/>
      <c r="O93" s="56"/>
      <c r="P93" s="56"/>
    </row>
    <row r="95" spans="1:16">
      <c r="E95" s="80"/>
      <c r="F95" s="84"/>
      <c r="G95" s="84"/>
      <c r="J95" s="84"/>
      <c r="K95" s="84"/>
    </row>
    <row r="96" spans="1:16">
      <c r="E96" s="82"/>
      <c r="F96" s="85"/>
      <c r="G96" s="85"/>
      <c r="J96" s="85"/>
      <c r="K96" s="85"/>
    </row>
    <row r="97" spans="5:11">
      <c r="E97" s="85" t="s">
        <v>358</v>
      </c>
      <c r="F97" s="85"/>
      <c r="G97" s="85">
        <f>COUNTIF(Table13[Checker],"GENERAL MANAGER")</f>
        <v>0</v>
      </c>
      <c r="J97" s="85"/>
      <c r="K97" s="85"/>
    </row>
    <row r="98" spans="5:11">
      <c r="E98" s="85" t="s">
        <v>354</v>
      </c>
      <c r="F98" s="85"/>
      <c r="G98" s="85">
        <f>COUNTIF(Table13[Checker],"BOM")</f>
        <v>0</v>
      </c>
      <c r="J98" s="85"/>
      <c r="K98" s="85"/>
    </row>
    <row r="99" spans="5:11">
      <c r="E99" s="83" t="s">
        <v>355</v>
      </c>
      <c r="F99" s="85"/>
      <c r="G99" s="85">
        <f>COUNTIF(Table13[Checker],"SALES MANAGER")</f>
        <v>90</v>
      </c>
      <c r="J99" s="85"/>
      <c r="K99" s="85"/>
    </row>
    <row r="100" spans="5:11">
      <c r="E100" s="83" t="s">
        <v>356</v>
      </c>
      <c r="F100" s="85"/>
      <c r="G100" s="85">
        <f>COUNTIF(Table13[Checker],"ASM")</f>
        <v>0</v>
      </c>
      <c r="J100" s="85"/>
      <c r="K100" s="85"/>
    </row>
    <row r="101" spans="5:11">
      <c r="E101" s="83" t="s">
        <v>357</v>
      </c>
      <c r="F101" s="85"/>
      <c r="G101" s="85">
        <f>COUNTIF(Table13[Checker],"UTILITY")</f>
        <v>0</v>
      </c>
      <c r="J101" s="85"/>
      <c r="K101" s="85"/>
    </row>
    <row r="102" spans="5:11">
      <c r="G102" s="83">
        <f>SUM(G97:G101)</f>
        <v>90</v>
      </c>
    </row>
  </sheetData>
  <conditionalFormatting sqref="H3:H92">
    <cfRule type="cellIs" dxfId="37" priority="1" operator="equal">
      <formula>"NO"</formula>
    </cfRule>
    <cfRule type="cellIs" dxfId="36" priority="2" operator="equal">
      <formula>"YES"</formula>
    </cfRule>
  </conditionalFormatting>
  <pageMargins left="0.7" right="0.7" top="0.75" bottom="0.75" header="0.3" footer="0.3"/>
  <pageSetup scale="27"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356E920-49F2-40AD-8A2E-DF8F4499D853}">
          <x14:formula1>
            <xm:f>'Data sheet'!$C$72:$C$74</xm:f>
          </x14:formula1>
          <xm:sqref>H3:H92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4"/>
  <sheetViews>
    <sheetView showGridLines="0" tabSelected="1" topLeftCell="B2" zoomScale="160" zoomScaleNormal="160" zoomScaleSheetLayoutView="115" zoomScalePageLayoutView="70" workbookViewId="0">
      <selection activeCell="E11" sqref="E11"/>
    </sheetView>
  </sheetViews>
  <sheetFormatPr defaultColWidth="9.109375" defaultRowHeight="11.4"/>
  <cols>
    <col min="1" max="1" width="6.33203125" style="27" customWidth="1"/>
    <col min="2" max="3" width="20.5546875" style="27" customWidth="1"/>
    <col min="4" max="7" width="21" style="27" customWidth="1"/>
    <col min="8" max="16384" width="9.109375" style="27"/>
  </cols>
  <sheetData>
    <row r="1" spans="1:7" ht="25.95" customHeight="1">
      <c r="A1" s="93" t="s">
        <v>0</v>
      </c>
      <c r="B1" s="94"/>
      <c r="C1" s="94"/>
      <c r="D1" s="94"/>
      <c r="E1" s="94"/>
      <c r="F1" s="94"/>
      <c r="G1" s="95"/>
    </row>
    <row r="2" spans="1:7" ht="11.4" customHeight="1">
      <c r="A2" s="96"/>
      <c r="B2" s="97"/>
      <c r="C2" s="97"/>
      <c r="D2" s="97"/>
      <c r="E2" s="97"/>
      <c r="F2" s="97"/>
      <c r="G2" s="98"/>
    </row>
    <row r="3" spans="1:7" ht="15.6" customHeight="1">
      <c r="A3" s="28"/>
      <c r="B3" s="20" t="s">
        <v>1</v>
      </c>
      <c r="C3" s="99" t="e">
        <f>VLOOKUP(C5,Sheet1!A:B,2,FALSE)</f>
        <v>#N/A</v>
      </c>
      <c r="D3" s="99"/>
      <c r="E3" s="99"/>
      <c r="F3" s="20" t="s">
        <v>2</v>
      </c>
      <c r="G3" s="21"/>
    </row>
    <row r="4" spans="1:7" ht="6" customHeight="1">
      <c r="A4" s="28"/>
      <c r="B4" s="20"/>
      <c r="C4" s="22"/>
      <c r="D4" s="22"/>
      <c r="E4" s="22"/>
      <c r="F4" s="22"/>
      <c r="G4" s="23"/>
    </row>
    <row r="5" spans="1:7" ht="15.6" customHeight="1">
      <c r="A5" s="28"/>
      <c r="B5" s="20" t="s">
        <v>3</v>
      </c>
      <c r="C5" s="100"/>
      <c r="D5" s="100"/>
      <c r="E5" s="100"/>
      <c r="F5" s="20" t="s">
        <v>4</v>
      </c>
      <c r="G5" s="21"/>
    </row>
    <row r="6" spans="1:7">
      <c r="A6" s="28"/>
      <c r="G6" s="29"/>
    </row>
    <row r="7" spans="1:7" ht="18" customHeight="1">
      <c r="A7" s="90" t="s">
        <v>5</v>
      </c>
      <c r="B7" s="91"/>
      <c r="C7" s="91"/>
      <c r="D7" s="91"/>
      <c r="E7" s="91"/>
      <c r="F7" s="91"/>
      <c r="G7" s="92"/>
    </row>
    <row r="8" spans="1:7" ht="20.100000000000001" customHeight="1">
      <c r="A8" s="30" t="s">
        <v>6</v>
      </c>
      <c r="B8" s="107" t="s">
        <v>7</v>
      </c>
      <c r="C8" s="107"/>
      <c r="D8" s="31" t="s">
        <v>8</v>
      </c>
      <c r="E8" s="32" t="s">
        <v>9</v>
      </c>
      <c r="F8" s="31" t="s">
        <v>10</v>
      </c>
      <c r="G8" s="33" t="s">
        <v>11</v>
      </c>
    </row>
    <row r="9" spans="1:7" ht="20.399999999999999" customHeight="1">
      <c r="A9" s="16" t="s">
        <v>12</v>
      </c>
      <c r="B9" s="108" t="s">
        <v>13</v>
      </c>
      <c r="C9" s="108"/>
      <c r="D9" s="74">
        <f>COUNTIF('Main Form'!$B$3:$B$92,Summary!B9)-COUNTIFS('Main Form'!$B$3:$B$92,Summary!B9,'Main Form'!$O$3:$O$92,"N/A")</f>
        <v>14</v>
      </c>
      <c r="E9" s="15">
        <f>COUNTIF('Main Form'!$O$3:$O$92,B9)</f>
        <v>14</v>
      </c>
      <c r="F9" s="17">
        <f>E9/D9</f>
        <v>1</v>
      </c>
      <c r="G9" s="18" t="str">
        <f>IF(F9&lt;100%,"FAIL", "PASS")</f>
        <v>PASS</v>
      </c>
    </row>
    <row r="10" spans="1:7" ht="20.399999999999999" customHeight="1">
      <c r="A10" s="16" t="s">
        <v>14</v>
      </c>
      <c r="B10" s="108" t="s">
        <v>15</v>
      </c>
      <c r="C10" s="108"/>
      <c r="D10" s="74">
        <f>COUNTIF('Main Form'!$B$3:$B$92,Summary!B10)-COUNTIFS('Main Form'!$B$3:$B$92,Summary!B10,'Main Form'!$O$3:$O$92,"N/A")</f>
        <v>66</v>
      </c>
      <c r="E10" s="15">
        <f>COUNTIF('Main Form'!$O$3:$O$92,B10)</f>
        <v>58</v>
      </c>
      <c r="F10" s="17">
        <f>E10/D10</f>
        <v>0.87878787878787878</v>
      </c>
      <c r="G10" s="18" t="str">
        <f>IF(F10&lt;80%,"FAIL", "PASS")</f>
        <v>PASS</v>
      </c>
    </row>
    <row r="11" spans="1:7" ht="20.399999999999999" customHeight="1">
      <c r="A11" s="16" t="s">
        <v>16</v>
      </c>
      <c r="B11" s="108" t="s">
        <v>17</v>
      </c>
      <c r="C11" s="108"/>
      <c r="D11" s="74">
        <f>COUNTIF('Main Form'!$B$3:$B$92,Summary!B11)-COUNTIFS('Main Form'!$B$3:$B$92,Summary!B11,'Main Form'!$O$3:$O$92,"N/A")</f>
        <v>10</v>
      </c>
      <c r="E11" s="15">
        <v>10</v>
      </c>
      <c r="F11" s="17">
        <f>E11/D11</f>
        <v>1</v>
      </c>
      <c r="G11" s="19"/>
    </row>
    <row r="12" spans="1:7" ht="20.399999999999999" customHeight="1">
      <c r="A12" s="109" t="s">
        <v>18</v>
      </c>
      <c r="B12" s="110"/>
      <c r="C12" s="110"/>
      <c r="D12" s="24">
        <f>SUM(D9:D11)</f>
        <v>90</v>
      </c>
      <c r="E12" s="25">
        <f>SUM(E9:E11)</f>
        <v>82</v>
      </c>
      <c r="F12" s="26">
        <f>E12/D12</f>
        <v>0.91111111111111109</v>
      </c>
      <c r="G12" s="18" t="str">
        <f>IF(F12&lt;80%,"FAIL",IF(OR(G9="FAIL",G10="FAIL",G11="FAIL"),"FAIL","PASS"))</f>
        <v>PASS</v>
      </c>
    </row>
    <row r="13" spans="1:7" ht="6" customHeight="1">
      <c r="A13" s="34"/>
      <c r="B13" s="35"/>
      <c r="C13" s="35"/>
      <c r="D13" s="35"/>
      <c r="E13" s="35"/>
      <c r="F13" s="36"/>
      <c r="G13" s="37"/>
    </row>
    <row r="14" spans="1:7" ht="18" customHeight="1">
      <c r="A14" s="101" t="s">
        <v>19</v>
      </c>
      <c r="B14" s="102"/>
      <c r="C14" s="102"/>
      <c r="D14" s="102"/>
      <c r="E14" s="102"/>
      <c r="F14" s="102"/>
      <c r="G14" s="103"/>
    </row>
    <row r="15" spans="1:7" ht="20.399999999999999" customHeight="1">
      <c r="A15" s="38" t="s">
        <v>6</v>
      </c>
      <c r="B15" s="104" t="s">
        <v>20</v>
      </c>
      <c r="C15" s="104"/>
      <c r="D15" s="39" t="s">
        <v>8</v>
      </c>
      <c r="E15" s="40" t="s">
        <v>9</v>
      </c>
      <c r="F15" s="105" t="s">
        <v>10</v>
      </c>
      <c r="G15" s="106"/>
    </row>
    <row r="16" spans="1:7" ht="26.4" customHeight="1">
      <c r="A16" s="41">
        <v>1</v>
      </c>
      <c r="B16" s="86" t="s">
        <v>21</v>
      </c>
      <c r="C16" s="87"/>
      <c r="D16" s="42">
        <f>COUNTIF('Main Form'!$C$3:$C$92,Summary!B16)-COUNTIFS('Main Form'!$C$3:$C$92,Summary!B16,'Main Form'!$P$3:$P$92,"N/A")</f>
        <v>23</v>
      </c>
      <c r="E16" s="72">
        <f>COUNTIFS('Main Form'!$P$3:$P$92,B16)</f>
        <v>23</v>
      </c>
      <c r="F16" s="88">
        <f t="shared" ref="F16:F29" si="0">E16/D16</f>
        <v>1</v>
      </c>
      <c r="G16" s="89"/>
    </row>
    <row r="17" spans="1:7" ht="26.4" customHeight="1">
      <c r="A17" s="41">
        <v>2</v>
      </c>
      <c r="B17" s="86" t="s">
        <v>22</v>
      </c>
      <c r="C17" s="87"/>
      <c r="D17" s="42">
        <f>COUNTIF('Main Form'!$C$3:$C$92,Summary!B17)-COUNTIFS('Main Form'!$C$3:$C$92,Summary!B17,'Main Form'!$P$3:$P$92,"N/A")</f>
        <v>4</v>
      </c>
      <c r="E17" s="72">
        <f>COUNTIFS('Main Form'!$P$3:$P$92,B17)</f>
        <v>2</v>
      </c>
      <c r="F17" s="88">
        <f t="shared" si="0"/>
        <v>0.5</v>
      </c>
      <c r="G17" s="89"/>
    </row>
    <row r="18" spans="1:7" ht="26.4" customHeight="1">
      <c r="A18" s="41">
        <v>3</v>
      </c>
      <c r="B18" s="86" t="s">
        <v>23</v>
      </c>
      <c r="C18" s="87"/>
      <c r="D18" s="42">
        <f>COUNTIF('Main Form'!$C$3:$C$92,Summary!B18)-COUNTIFS('Main Form'!$C$3:$C$92,Summary!B18,'Main Form'!$P$3:$P$92,"N/A")</f>
        <v>5</v>
      </c>
      <c r="E18" s="72">
        <f>COUNTIFS('Main Form'!$P$3:$P$92,B18)</f>
        <v>4</v>
      </c>
      <c r="F18" s="88">
        <f t="shared" si="0"/>
        <v>0.8</v>
      </c>
      <c r="G18" s="89"/>
    </row>
    <row r="19" spans="1:7" ht="26.4" customHeight="1">
      <c r="A19" s="41">
        <v>4</v>
      </c>
      <c r="B19" s="86" t="s">
        <v>24</v>
      </c>
      <c r="C19" s="87"/>
      <c r="D19" s="42">
        <f>COUNTIF('Main Form'!$C$3:$C$92,Summary!B19)-COUNTIFS('Main Form'!$C$3:$C$92,Summary!B19,'Main Form'!$P$3:$P$92,"N/A")</f>
        <v>9</v>
      </c>
      <c r="E19" s="72">
        <f>COUNTIFS('Main Form'!$P$3:$P$92,B19)</f>
        <v>5</v>
      </c>
      <c r="F19" s="88">
        <f>E19/D19</f>
        <v>0.55555555555555558</v>
      </c>
      <c r="G19" s="89"/>
    </row>
    <row r="20" spans="1:7" ht="26.4" customHeight="1">
      <c r="A20" s="41">
        <v>5</v>
      </c>
      <c r="B20" s="86" t="s">
        <v>25</v>
      </c>
      <c r="C20" s="87"/>
      <c r="D20" s="42">
        <f>COUNTIF('Main Form'!$C$3:$C$92,Summary!B20)-COUNTIFS('Main Form'!$C$3:$C$92,Summary!B20,'Main Form'!$P$3:$P$92,"N/A")</f>
        <v>3</v>
      </c>
      <c r="E20" s="72">
        <f>COUNTIFS('Main Form'!$P$3:$P$92,B20)</f>
        <v>3</v>
      </c>
      <c r="F20" s="88">
        <f t="shared" si="0"/>
        <v>1</v>
      </c>
      <c r="G20" s="89"/>
    </row>
    <row r="21" spans="1:7" ht="26.4" customHeight="1">
      <c r="A21" s="41">
        <v>6</v>
      </c>
      <c r="B21" s="86" t="s">
        <v>26</v>
      </c>
      <c r="C21" s="87"/>
      <c r="D21" s="42">
        <f>COUNTIF('Main Form'!$C$3:$C$92,Summary!B21)-COUNTIFS('Main Form'!$C$3:$C$92,Summary!B21,'Main Form'!$P$3:$P$92,"N/A")</f>
        <v>8</v>
      </c>
      <c r="E21" s="72">
        <f>COUNTIFS('Main Form'!$P$3:$P$92,B21)</f>
        <v>6</v>
      </c>
      <c r="F21" s="88">
        <f t="shared" si="0"/>
        <v>0.75</v>
      </c>
      <c r="G21" s="89"/>
    </row>
    <row r="22" spans="1:7" ht="26.4" customHeight="1">
      <c r="A22" s="41">
        <v>7</v>
      </c>
      <c r="B22" s="86" t="s">
        <v>27</v>
      </c>
      <c r="C22" s="87"/>
      <c r="D22" s="42">
        <f>COUNTIF('Main Form'!$C$3:$C$92,Summary!B22)-COUNTIFS('Main Form'!$C$3:$C$92,Summary!B22,'Main Form'!$P$3:$P$92,"N/A")</f>
        <v>6</v>
      </c>
      <c r="E22" s="72">
        <f>COUNTIFS('Main Form'!$P$3:$P$92,B22)</f>
        <v>5</v>
      </c>
      <c r="F22" s="88">
        <f t="shared" si="0"/>
        <v>0.83333333333333337</v>
      </c>
      <c r="G22" s="89"/>
    </row>
    <row r="23" spans="1:7" ht="26.4" customHeight="1">
      <c r="A23" s="41">
        <v>8</v>
      </c>
      <c r="B23" s="86" t="s">
        <v>28</v>
      </c>
      <c r="C23" s="87"/>
      <c r="D23" s="42">
        <f>COUNTIF('Main Form'!$C$3:$C$92,Summary!B23)-COUNTIFS('Main Form'!$C$3:$C$92,Summary!B23,'Main Form'!$P$3:$P$92,"N/A")</f>
        <v>2</v>
      </c>
      <c r="E23" s="72">
        <f>COUNTIFS('Main Form'!$P$3:$P$92,B23)</f>
        <v>2</v>
      </c>
      <c r="F23" s="88">
        <f t="shared" si="0"/>
        <v>1</v>
      </c>
      <c r="G23" s="89"/>
    </row>
    <row r="24" spans="1:7" ht="26.4" customHeight="1">
      <c r="A24" s="41">
        <v>9</v>
      </c>
      <c r="B24" s="86" t="s">
        <v>29</v>
      </c>
      <c r="C24" s="87"/>
      <c r="D24" s="42">
        <f>COUNTIF('Main Form'!$C$3:$C$92,Summary!B24)-COUNTIFS('Main Form'!$C$3:$C$92,Summary!B24,'Main Form'!$P$3:$P$92,"N/A")</f>
        <v>3</v>
      </c>
      <c r="E24" s="72">
        <f>COUNTIFS('Main Form'!$P$3:$P$92,B24)</f>
        <v>3</v>
      </c>
      <c r="F24" s="88">
        <f t="shared" si="0"/>
        <v>1</v>
      </c>
      <c r="G24" s="89"/>
    </row>
    <row r="25" spans="1:7" ht="26.4" customHeight="1">
      <c r="A25" s="41">
        <v>10</v>
      </c>
      <c r="B25" s="86" t="s">
        <v>30</v>
      </c>
      <c r="C25" s="87"/>
      <c r="D25" s="42">
        <f>COUNTIF('Main Form'!$C$3:$C$92,Summary!B25)-COUNTIFS('Main Form'!$C$3:$C$92,Summary!B25,'Main Form'!$P$3:$P$92,"N/A")</f>
        <v>8</v>
      </c>
      <c r="E25" s="72">
        <f>COUNTIFS('Main Form'!$P$3:$P$92,B25)</f>
        <v>8</v>
      </c>
      <c r="F25" s="88">
        <f t="shared" si="0"/>
        <v>1</v>
      </c>
      <c r="G25" s="89"/>
    </row>
    <row r="26" spans="1:7" ht="26.4" customHeight="1">
      <c r="A26" s="41">
        <v>11</v>
      </c>
      <c r="B26" s="86" t="s">
        <v>31</v>
      </c>
      <c r="C26" s="87"/>
      <c r="D26" s="42">
        <f>COUNTIF('Main Form'!$C$3:$C$92,Summary!B26)-COUNTIFS('Main Form'!$C$3:$C$92,Summary!B26,'Main Form'!$P$3:$P$92,"N/A")</f>
        <v>11</v>
      </c>
      <c r="E26" s="72">
        <f>COUNTIFS('Main Form'!$P$3:$P$92,B26)</f>
        <v>9</v>
      </c>
      <c r="F26" s="88">
        <f t="shared" si="0"/>
        <v>0.81818181818181823</v>
      </c>
      <c r="G26" s="89"/>
    </row>
    <row r="27" spans="1:7" ht="26.4" customHeight="1">
      <c r="A27" s="41">
        <v>12</v>
      </c>
      <c r="B27" s="86" t="s">
        <v>32</v>
      </c>
      <c r="C27" s="87"/>
      <c r="D27" s="42">
        <f>COUNTIF('Main Form'!$C$3:$C$92,Summary!B27)-COUNTIFS('Main Form'!$C$3:$C$92,Summary!B27,'Main Form'!$P$3:$P$92,"N/A")</f>
        <v>3</v>
      </c>
      <c r="E27" s="72">
        <f>COUNTIFS('Main Form'!$P$3:$P$92,B27)</f>
        <v>2</v>
      </c>
      <c r="F27" s="88">
        <f t="shared" si="0"/>
        <v>0.66666666666666663</v>
      </c>
      <c r="G27" s="89"/>
    </row>
    <row r="28" spans="1:7" ht="26.4" customHeight="1">
      <c r="A28" s="41">
        <v>13</v>
      </c>
      <c r="B28" s="86" t="s">
        <v>33</v>
      </c>
      <c r="C28" s="87"/>
      <c r="D28" s="42">
        <f>COUNTIF('Main Form'!$C$3:$C$92,Summary!B28)-COUNTIFS('Main Form'!$C$3:$C$92,Summary!B28,'Main Form'!$P$3:$P$92,"N/A")</f>
        <v>5</v>
      </c>
      <c r="E28" s="72">
        <f>COUNTIFS('Main Form'!$P$3:$P$92,B28)</f>
        <v>0</v>
      </c>
      <c r="F28" s="88">
        <f t="shared" si="0"/>
        <v>0</v>
      </c>
      <c r="G28" s="89"/>
    </row>
    <row r="29" spans="1:7" ht="26.4" customHeight="1">
      <c r="A29" s="109" t="s">
        <v>34</v>
      </c>
      <c r="B29" s="110"/>
      <c r="C29" s="110"/>
      <c r="D29" s="42">
        <f>SUM(D16:D28)</f>
        <v>90</v>
      </c>
      <c r="E29" s="43">
        <f>SUM(E16:E28)</f>
        <v>72</v>
      </c>
      <c r="F29" s="88">
        <f t="shared" si="0"/>
        <v>0.8</v>
      </c>
      <c r="G29" s="89"/>
    </row>
    <row r="30" spans="1:7" ht="15" customHeight="1">
      <c r="A30" s="44"/>
      <c r="B30" s="5"/>
      <c r="C30" s="5"/>
      <c r="D30" s="45"/>
      <c r="E30" s="5"/>
      <c r="F30" s="46"/>
      <c r="G30" s="47"/>
    </row>
    <row r="31" spans="1:7" ht="15" customHeight="1">
      <c r="A31" s="44"/>
      <c r="B31" s="5"/>
      <c r="C31" s="5"/>
      <c r="D31" s="5"/>
      <c r="E31" s="5"/>
      <c r="F31" s="46"/>
      <c r="G31" s="47"/>
    </row>
    <row r="32" spans="1:7" ht="15" customHeight="1">
      <c r="A32" s="44"/>
      <c r="B32" s="5"/>
      <c r="C32" s="5"/>
      <c r="D32" s="5"/>
      <c r="E32" s="5"/>
      <c r="F32" s="46"/>
      <c r="G32" s="47"/>
    </row>
    <row r="33" spans="1:7" ht="15" customHeight="1">
      <c r="A33" s="44"/>
      <c r="B33" s="5"/>
      <c r="C33" s="5"/>
      <c r="D33" s="5"/>
      <c r="E33" s="5"/>
      <c r="F33" s="46"/>
      <c r="G33" s="47"/>
    </row>
    <row r="34" spans="1:7" ht="15" customHeight="1">
      <c r="A34" s="44"/>
      <c r="B34" s="5"/>
      <c r="C34" s="5"/>
      <c r="D34" s="5"/>
      <c r="E34" s="5"/>
      <c r="F34" s="46"/>
      <c r="G34" s="47"/>
    </row>
    <row r="35" spans="1:7" ht="15" customHeight="1">
      <c r="A35" s="44"/>
      <c r="B35" s="5"/>
      <c r="C35" s="5"/>
      <c r="D35" s="5"/>
      <c r="E35" s="5"/>
      <c r="F35" s="46"/>
      <c r="G35" s="47"/>
    </row>
    <row r="36" spans="1:7" ht="15" customHeight="1">
      <c r="A36" s="44"/>
      <c r="B36" s="5"/>
      <c r="C36" s="5"/>
      <c r="D36" s="5"/>
      <c r="E36" s="5"/>
      <c r="F36" s="46"/>
      <c r="G36" s="47"/>
    </row>
    <row r="37" spans="1:7" ht="15" customHeight="1">
      <c r="A37" s="44"/>
      <c r="B37" s="5"/>
      <c r="C37" s="5"/>
      <c r="D37" s="5"/>
      <c r="E37" s="5"/>
      <c r="F37" s="46"/>
      <c r="G37" s="47"/>
    </row>
    <row r="38" spans="1:7" ht="15" customHeight="1">
      <c r="A38" s="44"/>
      <c r="B38" s="5"/>
      <c r="C38" s="5"/>
      <c r="D38" s="5"/>
      <c r="E38" s="5"/>
      <c r="F38" s="46"/>
      <c r="G38" s="47"/>
    </row>
    <row r="39" spans="1:7" ht="15" customHeight="1">
      <c r="A39" s="44"/>
      <c r="B39" s="5"/>
      <c r="C39" s="5"/>
      <c r="D39" s="5"/>
      <c r="E39" s="5"/>
      <c r="F39" s="46"/>
      <c r="G39" s="47"/>
    </row>
    <row r="40" spans="1:7" ht="15" customHeight="1">
      <c r="A40" s="44"/>
      <c r="B40" s="5"/>
      <c r="C40" s="5"/>
      <c r="D40" s="5"/>
      <c r="E40" s="5"/>
      <c r="F40" s="46"/>
      <c r="G40" s="47"/>
    </row>
    <row r="41" spans="1:7" ht="15" customHeight="1">
      <c r="A41" s="44"/>
      <c r="B41" s="5"/>
      <c r="C41" s="5"/>
      <c r="D41" s="5"/>
      <c r="E41" s="5"/>
      <c r="F41" s="46"/>
      <c r="G41" s="47"/>
    </row>
    <row r="42" spans="1:7">
      <c r="A42" s="28"/>
      <c r="G42" s="29"/>
    </row>
    <row r="43" spans="1:7">
      <c r="A43" s="28"/>
      <c r="G43" s="29"/>
    </row>
    <row r="44" spans="1:7" ht="13.2">
      <c r="A44" s="48"/>
      <c r="B44" s="49"/>
      <c r="C44" s="49"/>
      <c r="D44" s="50"/>
      <c r="E44" s="49"/>
      <c r="F44" s="49"/>
      <c r="G44" s="29"/>
    </row>
    <row r="45" spans="1:7" ht="13.2">
      <c r="A45" s="34"/>
      <c r="B45" s="49"/>
      <c r="C45" s="49"/>
      <c r="D45" s="49"/>
      <c r="E45" s="49"/>
      <c r="F45" s="49"/>
      <c r="G45" s="29"/>
    </row>
    <row r="46" spans="1:7" ht="13.2">
      <c r="A46" s="111"/>
      <c r="B46" s="112"/>
      <c r="C46" s="49"/>
      <c r="D46" s="112"/>
      <c r="E46" s="112"/>
      <c r="F46" s="49"/>
      <c r="G46" s="29"/>
    </row>
    <row r="47" spans="1:7" ht="13.2">
      <c r="A47" s="111"/>
      <c r="B47" s="112"/>
      <c r="C47" s="49"/>
      <c r="D47" s="112"/>
      <c r="E47" s="112"/>
      <c r="F47" s="50"/>
      <c r="G47" s="29"/>
    </row>
    <row r="48" spans="1:7" ht="13.2">
      <c r="A48" s="34"/>
      <c r="B48" s="49"/>
      <c r="C48" s="49"/>
      <c r="D48" s="49"/>
      <c r="E48" s="49"/>
      <c r="F48" s="49"/>
      <c r="G48" s="29"/>
    </row>
    <row r="49" spans="1:7" ht="13.2">
      <c r="A49" s="111"/>
      <c r="B49" s="112"/>
      <c r="C49" s="49"/>
      <c r="D49" s="112"/>
      <c r="E49" s="112"/>
      <c r="F49" s="51"/>
      <c r="G49" s="29"/>
    </row>
    <row r="50" spans="1:7" ht="13.2">
      <c r="A50" s="111"/>
      <c r="B50" s="112"/>
      <c r="C50" s="49"/>
      <c r="D50" s="112"/>
      <c r="E50" s="112"/>
      <c r="F50" s="112"/>
      <c r="G50" s="113"/>
    </row>
    <row r="51" spans="1:7" ht="12" thickBot="1">
      <c r="A51" s="52"/>
      <c r="B51" s="53"/>
      <c r="C51" s="53"/>
      <c r="D51" s="53"/>
      <c r="E51" s="53"/>
      <c r="F51" s="53"/>
      <c r="G51" s="54"/>
    </row>
    <row r="52" spans="1:7" s="49" customFormat="1" ht="13.2">
      <c r="A52" s="114"/>
      <c r="B52" s="114"/>
      <c r="C52" s="114"/>
      <c r="D52" s="114"/>
      <c r="E52" s="114"/>
      <c r="F52" s="114"/>
      <c r="G52" s="114"/>
    </row>
    <row r="53" spans="1:7" ht="13.8">
      <c r="A53" s="55"/>
    </row>
    <row r="54" spans="1:7" ht="13.8">
      <c r="A54" s="55"/>
    </row>
  </sheetData>
  <mergeCells count="50">
    <mergeCell ref="F29:G29"/>
    <mergeCell ref="A29:C29"/>
    <mergeCell ref="A50:B50"/>
    <mergeCell ref="F50:G50"/>
    <mergeCell ref="A52:G52"/>
    <mergeCell ref="A46:B46"/>
    <mergeCell ref="A47:B47"/>
    <mergeCell ref="A49:B49"/>
    <mergeCell ref="D46:E46"/>
    <mergeCell ref="D47:E47"/>
    <mergeCell ref="D49:E49"/>
    <mergeCell ref="D50:E50"/>
    <mergeCell ref="A12:C12"/>
    <mergeCell ref="B22:C22"/>
    <mergeCell ref="B21:C21"/>
    <mergeCell ref="B20:C20"/>
    <mergeCell ref="B19:C19"/>
    <mergeCell ref="B16:C16"/>
    <mergeCell ref="B17:C17"/>
    <mergeCell ref="B18:C18"/>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B28:C28"/>
    <mergeCell ref="F28:G28"/>
    <mergeCell ref="F16:G16"/>
    <mergeCell ref="F17:G17"/>
    <mergeCell ref="F18:G18"/>
    <mergeCell ref="F26:G26"/>
    <mergeCell ref="B27:C27"/>
    <mergeCell ref="F27:G27"/>
    <mergeCell ref="B23:C23"/>
    <mergeCell ref="B24:C24"/>
    <mergeCell ref="F24:G24"/>
    <mergeCell ref="B25:C25"/>
    <mergeCell ref="F25:G25"/>
    <mergeCell ref="B26:C26"/>
  </mergeCells>
  <phoneticPr fontId="10" type="noConversion"/>
  <conditionalFormatting sqref="F16:F29">
    <cfRule type="cellIs" dxfId="35" priority="1" operator="lessThan">
      <formula>0.8</formula>
    </cfRule>
    <cfRule type="cellIs" dxfId="34" priority="2" operator="greaterThanOrEqual">
      <formula>0.8</formula>
    </cfRule>
  </conditionalFormatting>
  <conditionalFormatting sqref="G9:G12">
    <cfRule type="cellIs" dxfId="33" priority="13" operator="equal">
      <formula>"PASS"</formula>
    </cfRule>
    <cfRule type="cellIs" dxfId="32" priority="14" operator="equal">
      <formula>"FAIL"</formula>
    </cfRule>
  </conditionalFormatting>
  <pageMargins left="0.7" right="0.7" top="0.75" bottom="0.75" header="0.3" footer="0.3"/>
  <pageSetup scale="6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93"/>
  <sheetViews>
    <sheetView showGridLines="0" view="pageBreakPreview" zoomScale="57" zoomScaleNormal="85" zoomScaleSheetLayoutView="55" zoomScalePageLayoutView="74" workbookViewId="0">
      <selection activeCell="E7" sqref="E7"/>
    </sheetView>
  </sheetViews>
  <sheetFormatPr defaultColWidth="8.88671875" defaultRowHeight="20.399999999999999"/>
  <cols>
    <col min="1" max="1" width="8.6640625" style="56" customWidth="1"/>
    <col min="2" max="2" width="20.88671875" style="57" customWidth="1"/>
    <col min="3" max="3" width="34.109375" style="71" customWidth="1"/>
    <col min="4" max="4" width="21.109375" style="57" customWidth="1"/>
    <col min="5" max="5" width="71" style="57" customWidth="1"/>
    <col min="6" max="6" width="63.6640625" style="56" customWidth="1"/>
    <col min="7" max="7" width="17.6640625" style="60" hidden="1" customWidth="1"/>
    <col min="8" max="8" width="13.33203125" style="60" customWidth="1"/>
    <col min="9" max="16384" width="8.88671875" style="61"/>
  </cols>
  <sheetData>
    <row r="1" spans="1:8">
      <c r="C1" s="57"/>
      <c r="E1" s="58"/>
      <c r="F1" s="59"/>
      <c r="H1" s="61"/>
    </row>
    <row r="2" spans="1:8" s="64" customFormat="1" ht="21">
      <c r="A2" s="62" t="s">
        <v>6</v>
      </c>
      <c r="B2" s="63" t="s">
        <v>7</v>
      </c>
      <c r="C2" s="63" t="s">
        <v>20</v>
      </c>
      <c r="D2" s="63" t="s">
        <v>35</v>
      </c>
      <c r="E2" s="63" t="s">
        <v>36</v>
      </c>
      <c r="F2" s="62" t="s">
        <v>155</v>
      </c>
      <c r="G2" s="62" t="s">
        <v>156</v>
      </c>
    </row>
    <row r="3" spans="1:8" s="64" customFormat="1" ht="61.2">
      <c r="A3" s="65">
        <v>1</v>
      </c>
      <c r="B3" s="66" t="s">
        <v>13</v>
      </c>
      <c r="C3" s="66" t="s">
        <v>21</v>
      </c>
      <c r="D3" s="66" t="s">
        <v>43</v>
      </c>
      <c r="E3" s="67" t="s">
        <v>44</v>
      </c>
      <c r="F3" s="67" t="s">
        <v>157</v>
      </c>
      <c r="G3" s="73"/>
    </row>
    <row r="4" spans="1:8" s="64" customFormat="1" ht="81.599999999999994">
      <c r="A4" s="65">
        <v>2</v>
      </c>
      <c r="B4" s="66" t="s">
        <v>13</v>
      </c>
      <c r="C4" s="66" t="s">
        <v>21</v>
      </c>
      <c r="D4" s="66" t="s">
        <v>43</v>
      </c>
      <c r="E4" s="67" t="s">
        <v>46</v>
      </c>
      <c r="F4" s="67" t="s">
        <v>157</v>
      </c>
      <c r="G4" s="73"/>
    </row>
    <row r="5" spans="1:8" s="64" customFormat="1" ht="61.2">
      <c r="A5" s="65">
        <v>3</v>
      </c>
      <c r="B5" s="66" t="s">
        <v>13</v>
      </c>
      <c r="C5" s="66" t="s">
        <v>21</v>
      </c>
      <c r="D5" s="66" t="s">
        <v>43</v>
      </c>
      <c r="E5" s="67" t="s">
        <v>47</v>
      </c>
      <c r="F5" s="67" t="s">
        <v>157</v>
      </c>
      <c r="G5" s="73"/>
    </row>
    <row r="6" spans="1:8" s="64" customFormat="1" ht="40.799999999999997">
      <c r="A6" s="65">
        <v>4</v>
      </c>
      <c r="B6" s="66" t="s">
        <v>13</v>
      </c>
      <c r="C6" s="66" t="s">
        <v>21</v>
      </c>
      <c r="D6" s="66" t="s">
        <v>43</v>
      </c>
      <c r="E6" s="67" t="s">
        <v>48</v>
      </c>
      <c r="F6" s="67" t="s">
        <v>158</v>
      </c>
      <c r="G6" s="73"/>
    </row>
    <row r="7" spans="1:8" s="64" customFormat="1" ht="40.799999999999997">
      <c r="A7" s="65">
        <v>5</v>
      </c>
      <c r="B7" s="66" t="s">
        <v>13</v>
      </c>
      <c r="C7" s="66" t="s">
        <v>21</v>
      </c>
      <c r="D7" s="66" t="s">
        <v>43</v>
      </c>
      <c r="E7" s="67" t="s">
        <v>49</v>
      </c>
      <c r="F7" s="67" t="s">
        <v>157</v>
      </c>
      <c r="G7" s="73"/>
    </row>
    <row r="8" spans="1:8" s="64" customFormat="1" ht="40.799999999999997">
      <c r="A8" s="65">
        <v>6</v>
      </c>
      <c r="B8" s="66" t="s">
        <v>15</v>
      </c>
      <c r="C8" s="66" t="s">
        <v>21</v>
      </c>
      <c r="D8" s="66" t="s">
        <v>43</v>
      </c>
      <c r="E8" s="67" t="s">
        <v>50</v>
      </c>
      <c r="F8" s="67" t="s">
        <v>158</v>
      </c>
      <c r="G8" s="73"/>
    </row>
    <row r="9" spans="1:8" s="64" customFormat="1" ht="61.2">
      <c r="A9" s="65">
        <v>7</v>
      </c>
      <c r="B9" s="66" t="s">
        <v>13</v>
      </c>
      <c r="C9" s="66" t="s">
        <v>21</v>
      </c>
      <c r="D9" s="66" t="s">
        <v>43</v>
      </c>
      <c r="E9" s="67" t="s">
        <v>51</v>
      </c>
      <c r="F9" s="67" t="s">
        <v>158</v>
      </c>
      <c r="G9" s="73"/>
    </row>
    <row r="10" spans="1:8" s="64" customFormat="1" ht="40.799999999999997">
      <c r="A10" s="65">
        <v>8</v>
      </c>
      <c r="B10" s="66" t="s">
        <v>13</v>
      </c>
      <c r="C10" s="66" t="s">
        <v>27</v>
      </c>
      <c r="D10" s="66" t="s">
        <v>52</v>
      </c>
      <c r="E10" s="67" t="s">
        <v>53</v>
      </c>
      <c r="F10" s="67" t="s">
        <v>159</v>
      </c>
      <c r="G10" s="73"/>
    </row>
    <row r="11" spans="1:8" s="64" customFormat="1" ht="81.599999999999994">
      <c r="A11" s="65">
        <v>9</v>
      </c>
      <c r="B11" s="66" t="s">
        <v>17</v>
      </c>
      <c r="C11" s="66" t="s">
        <v>27</v>
      </c>
      <c r="D11" s="66" t="s">
        <v>52</v>
      </c>
      <c r="E11" s="67" t="s">
        <v>54</v>
      </c>
      <c r="F11" s="67" t="s">
        <v>160</v>
      </c>
      <c r="G11" s="73"/>
    </row>
    <row r="12" spans="1:8" s="64" customFormat="1" ht="81.599999999999994">
      <c r="A12" s="65">
        <v>10</v>
      </c>
      <c r="B12" s="66" t="s">
        <v>15</v>
      </c>
      <c r="C12" s="66" t="s">
        <v>27</v>
      </c>
      <c r="D12" s="66" t="s">
        <v>52</v>
      </c>
      <c r="E12" s="67" t="s">
        <v>55</v>
      </c>
      <c r="F12" s="67" t="s">
        <v>161</v>
      </c>
      <c r="G12" s="73"/>
    </row>
    <row r="13" spans="1:8" s="64" customFormat="1" ht="61.2">
      <c r="A13" s="65">
        <v>11</v>
      </c>
      <c r="B13" s="66" t="s">
        <v>15</v>
      </c>
      <c r="C13" s="66" t="s">
        <v>26</v>
      </c>
      <c r="D13" s="66" t="s">
        <v>56</v>
      </c>
      <c r="E13" s="67" t="s">
        <v>57</v>
      </c>
      <c r="F13" s="67" t="s">
        <v>162</v>
      </c>
      <c r="G13" s="73"/>
    </row>
    <row r="14" spans="1:8" ht="61.2">
      <c r="A14" s="65">
        <v>12</v>
      </c>
      <c r="B14" s="66" t="s">
        <v>15</v>
      </c>
      <c r="C14" s="66" t="s">
        <v>26</v>
      </c>
      <c r="D14" s="66" t="s">
        <v>56</v>
      </c>
      <c r="E14" s="68" t="s">
        <v>58</v>
      </c>
      <c r="F14" s="67" t="s">
        <v>163</v>
      </c>
      <c r="G14" s="73"/>
      <c r="H14" s="61"/>
    </row>
    <row r="15" spans="1:8" s="64" customFormat="1" ht="142.80000000000001">
      <c r="A15" s="65">
        <v>13</v>
      </c>
      <c r="B15" s="66" t="s">
        <v>15</v>
      </c>
      <c r="C15" s="66" t="s">
        <v>21</v>
      </c>
      <c r="D15" s="66" t="s">
        <v>59</v>
      </c>
      <c r="E15" s="67" t="s">
        <v>60</v>
      </c>
      <c r="F15" s="67" t="s">
        <v>164</v>
      </c>
      <c r="G15" s="73"/>
    </row>
    <row r="16" spans="1:8" s="64" customFormat="1" ht="81.599999999999994">
      <c r="A16" s="65">
        <v>14</v>
      </c>
      <c r="B16" s="66" t="s">
        <v>15</v>
      </c>
      <c r="C16" s="66" t="s">
        <v>21</v>
      </c>
      <c r="D16" s="66" t="s">
        <v>59</v>
      </c>
      <c r="E16" s="67" t="s">
        <v>61</v>
      </c>
      <c r="F16" s="67" t="s">
        <v>165</v>
      </c>
      <c r="G16" s="73"/>
    </row>
    <row r="17" spans="1:8" s="64" customFormat="1" ht="40.799999999999997">
      <c r="A17" s="65">
        <v>15</v>
      </c>
      <c r="B17" s="66" t="s">
        <v>13</v>
      </c>
      <c r="C17" s="66" t="s">
        <v>21</v>
      </c>
      <c r="D17" s="66" t="s">
        <v>59</v>
      </c>
      <c r="E17" s="67" t="s">
        <v>62</v>
      </c>
      <c r="F17" s="67" t="s">
        <v>166</v>
      </c>
      <c r="G17" s="73"/>
    </row>
    <row r="18" spans="1:8" s="64" customFormat="1" ht="81.599999999999994">
      <c r="A18" s="65">
        <v>16</v>
      </c>
      <c r="B18" s="66" t="s">
        <v>13</v>
      </c>
      <c r="C18" s="66" t="s">
        <v>21</v>
      </c>
      <c r="D18" s="66" t="s">
        <v>59</v>
      </c>
      <c r="E18" s="67" t="s">
        <v>63</v>
      </c>
      <c r="F18" s="67" t="s">
        <v>167</v>
      </c>
      <c r="G18" s="73"/>
    </row>
    <row r="19" spans="1:8" ht="207.75" customHeight="1">
      <c r="A19" s="65">
        <v>17</v>
      </c>
      <c r="B19" s="66" t="s">
        <v>15</v>
      </c>
      <c r="C19" s="66" t="s">
        <v>21</v>
      </c>
      <c r="D19" s="66" t="s">
        <v>64</v>
      </c>
      <c r="E19" s="68" t="s">
        <v>65</v>
      </c>
      <c r="F19" s="67" t="s">
        <v>168</v>
      </c>
      <c r="G19" s="73"/>
      <c r="H19" s="61"/>
    </row>
    <row r="20" spans="1:8" s="64" customFormat="1" ht="198" customHeight="1">
      <c r="A20" s="65">
        <v>18</v>
      </c>
      <c r="B20" s="66" t="s">
        <v>15</v>
      </c>
      <c r="C20" s="66" t="s">
        <v>21</v>
      </c>
      <c r="D20" s="66" t="s">
        <v>64</v>
      </c>
      <c r="E20" s="67" t="s">
        <v>66</v>
      </c>
      <c r="F20" s="67" t="s">
        <v>169</v>
      </c>
      <c r="G20" s="73"/>
    </row>
    <row r="21" spans="1:8" s="64" customFormat="1" ht="102">
      <c r="A21" s="65">
        <v>19</v>
      </c>
      <c r="B21" s="66" t="s">
        <v>15</v>
      </c>
      <c r="C21" s="66" t="s">
        <v>21</v>
      </c>
      <c r="D21" s="66" t="s">
        <v>64</v>
      </c>
      <c r="E21" s="67" t="s">
        <v>67</v>
      </c>
      <c r="F21" s="67" t="s">
        <v>170</v>
      </c>
      <c r="G21" s="73"/>
    </row>
    <row r="22" spans="1:8" s="64" customFormat="1" ht="265.2">
      <c r="A22" s="65">
        <v>20</v>
      </c>
      <c r="B22" s="66" t="s">
        <v>15</v>
      </c>
      <c r="C22" s="66" t="s">
        <v>21</v>
      </c>
      <c r="D22" s="66" t="s">
        <v>64</v>
      </c>
      <c r="E22" s="67" t="s">
        <v>68</v>
      </c>
      <c r="F22" s="67" t="s">
        <v>171</v>
      </c>
      <c r="G22" s="73"/>
    </row>
    <row r="23" spans="1:8" s="64" customFormat="1" ht="61.2">
      <c r="A23" s="65">
        <v>21</v>
      </c>
      <c r="B23" s="66" t="s">
        <v>15</v>
      </c>
      <c r="C23" s="66" t="s">
        <v>26</v>
      </c>
      <c r="D23" s="66" t="s">
        <v>59</v>
      </c>
      <c r="E23" s="67" t="s">
        <v>69</v>
      </c>
      <c r="F23" s="75" t="s">
        <v>172</v>
      </c>
      <c r="G23" s="73"/>
    </row>
    <row r="24" spans="1:8" ht="81.599999999999994">
      <c r="A24" s="65">
        <v>22</v>
      </c>
      <c r="B24" s="66" t="s">
        <v>17</v>
      </c>
      <c r="C24" s="66" t="s">
        <v>26</v>
      </c>
      <c r="D24" s="66" t="s">
        <v>59</v>
      </c>
      <c r="E24" s="68" t="s">
        <v>70</v>
      </c>
      <c r="F24" s="75" t="s">
        <v>173</v>
      </c>
      <c r="G24" s="73"/>
      <c r="H24" s="61"/>
    </row>
    <row r="25" spans="1:8" ht="40.799999999999997">
      <c r="A25" s="65">
        <v>23</v>
      </c>
      <c r="B25" s="66" t="s">
        <v>13</v>
      </c>
      <c r="C25" s="66" t="s">
        <v>21</v>
      </c>
      <c r="D25" s="66" t="s">
        <v>59</v>
      </c>
      <c r="E25" s="68" t="s">
        <v>71</v>
      </c>
      <c r="F25" s="75" t="s">
        <v>174</v>
      </c>
      <c r="G25" s="73"/>
      <c r="H25" s="61"/>
    </row>
    <row r="26" spans="1:8" s="64" customFormat="1" ht="61.2">
      <c r="A26" s="65">
        <v>24</v>
      </c>
      <c r="B26" s="66" t="s">
        <v>13</v>
      </c>
      <c r="C26" s="66" t="s">
        <v>21</v>
      </c>
      <c r="D26" s="66" t="s">
        <v>59</v>
      </c>
      <c r="E26" s="67" t="s">
        <v>72</v>
      </c>
      <c r="F26" s="75" t="s">
        <v>175</v>
      </c>
      <c r="G26" s="73"/>
    </row>
    <row r="27" spans="1:8" s="64" customFormat="1" ht="40.799999999999997">
      <c r="A27" s="65">
        <v>25</v>
      </c>
      <c r="B27" s="66" t="s">
        <v>13</v>
      </c>
      <c r="C27" s="66" t="s">
        <v>21</v>
      </c>
      <c r="D27" s="66" t="s">
        <v>59</v>
      </c>
      <c r="E27" s="67" t="s">
        <v>73</v>
      </c>
      <c r="F27" s="67" t="s">
        <v>176</v>
      </c>
      <c r="G27" s="73"/>
    </row>
    <row r="28" spans="1:8" s="64" customFormat="1" ht="61.2">
      <c r="A28" s="65">
        <v>26</v>
      </c>
      <c r="B28" s="66" t="s">
        <v>13</v>
      </c>
      <c r="C28" s="66" t="s">
        <v>21</v>
      </c>
      <c r="D28" s="66" t="s">
        <v>59</v>
      </c>
      <c r="E28" s="67" t="s">
        <v>74</v>
      </c>
      <c r="F28" s="67" t="s">
        <v>177</v>
      </c>
      <c r="G28" s="73"/>
    </row>
    <row r="29" spans="1:8" ht="61.2">
      <c r="A29" s="65">
        <v>27</v>
      </c>
      <c r="B29" s="66" t="s">
        <v>15</v>
      </c>
      <c r="C29" s="66" t="s">
        <v>21</v>
      </c>
      <c r="D29" s="66" t="s">
        <v>59</v>
      </c>
      <c r="E29" s="68" t="s">
        <v>75</v>
      </c>
      <c r="F29" s="67" t="s">
        <v>178</v>
      </c>
      <c r="G29" s="73"/>
      <c r="H29" s="61"/>
    </row>
    <row r="30" spans="1:8" s="64" customFormat="1" ht="142.80000000000001">
      <c r="A30" s="65">
        <v>28</v>
      </c>
      <c r="B30" s="66" t="s">
        <v>15</v>
      </c>
      <c r="C30" s="66" t="s">
        <v>21</v>
      </c>
      <c r="D30" s="66" t="s">
        <v>59</v>
      </c>
      <c r="E30" s="67" t="s">
        <v>76</v>
      </c>
      <c r="F30" s="67" t="s">
        <v>179</v>
      </c>
      <c r="G30" s="73"/>
    </row>
    <row r="31" spans="1:8" ht="142.80000000000001">
      <c r="A31" s="65">
        <v>29</v>
      </c>
      <c r="B31" s="66" t="s">
        <v>13</v>
      </c>
      <c r="C31" s="66" t="s">
        <v>21</v>
      </c>
      <c r="D31" s="66" t="s">
        <v>59</v>
      </c>
      <c r="E31" s="68" t="s">
        <v>77</v>
      </c>
      <c r="F31" s="67" t="s">
        <v>180</v>
      </c>
      <c r="G31" s="73"/>
      <c r="H31" s="61"/>
    </row>
    <row r="32" spans="1:8" ht="102">
      <c r="A32" s="65">
        <v>30</v>
      </c>
      <c r="B32" s="66" t="s">
        <v>15</v>
      </c>
      <c r="C32" s="66" t="s">
        <v>26</v>
      </c>
      <c r="D32" s="66" t="s">
        <v>59</v>
      </c>
      <c r="E32" s="68" t="s">
        <v>78</v>
      </c>
      <c r="F32" s="67" t="s">
        <v>181</v>
      </c>
      <c r="G32" s="73"/>
      <c r="H32" s="61"/>
    </row>
    <row r="33" spans="1:8" s="64" customFormat="1" ht="61.2">
      <c r="A33" s="65">
        <v>31</v>
      </c>
      <c r="B33" s="66" t="s">
        <v>15</v>
      </c>
      <c r="C33" s="66" t="s">
        <v>26</v>
      </c>
      <c r="D33" s="66" t="s">
        <v>59</v>
      </c>
      <c r="E33" s="67" t="s">
        <v>79</v>
      </c>
      <c r="F33" s="67" t="s">
        <v>182</v>
      </c>
      <c r="G33" s="73"/>
    </row>
    <row r="34" spans="1:8" s="64" customFormat="1" ht="61.2">
      <c r="A34" s="65">
        <v>32</v>
      </c>
      <c r="B34" s="66" t="s">
        <v>15</v>
      </c>
      <c r="C34" s="66" t="s">
        <v>26</v>
      </c>
      <c r="D34" s="66" t="s">
        <v>59</v>
      </c>
      <c r="E34" s="67" t="s">
        <v>80</v>
      </c>
      <c r="F34" s="67" t="s">
        <v>182</v>
      </c>
      <c r="G34" s="73"/>
    </row>
    <row r="35" spans="1:8" s="64" customFormat="1" ht="122.4">
      <c r="A35" s="65">
        <v>33</v>
      </c>
      <c r="B35" s="66" t="s">
        <v>17</v>
      </c>
      <c r="C35" s="66" t="s">
        <v>26</v>
      </c>
      <c r="D35" s="66" t="s">
        <v>59</v>
      </c>
      <c r="E35" s="67" t="s">
        <v>81</v>
      </c>
      <c r="F35" s="67" t="s">
        <v>183</v>
      </c>
      <c r="G35" s="73"/>
    </row>
    <row r="36" spans="1:8" s="64" customFormat="1" ht="81.599999999999994">
      <c r="A36" s="65">
        <v>34</v>
      </c>
      <c r="B36" s="66" t="s">
        <v>15</v>
      </c>
      <c r="C36" s="66" t="s">
        <v>21</v>
      </c>
      <c r="D36" s="66" t="s">
        <v>59</v>
      </c>
      <c r="E36" s="67" t="s">
        <v>82</v>
      </c>
      <c r="F36" s="67" t="s">
        <v>184</v>
      </c>
      <c r="G36" s="73"/>
    </row>
    <row r="37" spans="1:8" s="64" customFormat="1" ht="142.80000000000001">
      <c r="A37" s="65">
        <v>35</v>
      </c>
      <c r="B37" s="66" t="s">
        <v>15</v>
      </c>
      <c r="C37" s="66" t="s">
        <v>30</v>
      </c>
      <c r="D37" s="66" t="s">
        <v>83</v>
      </c>
      <c r="E37" s="67" t="s">
        <v>84</v>
      </c>
      <c r="F37" s="67" t="s">
        <v>185</v>
      </c>
      <c r="G37" s="73"/>
    </row>
    <row r="38" spans="1:8" s="64" customFormat="1" ht="102">
      <c r="A38" s="65">
        <v>36</v>
      </c>
      <c r="B38" s="66" t="s">
        <v>15</v>
      </c>
      <c r="C38" s="66" t="s">
        <v>30</v>
      </c>
      <c r="D38" s="66" t="s">
        <v>83</v>
      </c>
      <c r="E38" s="67" t="s">
        <v>85</v>
      </c>
      <c r="F38" s="67" t="s">
        <v>186</v>
      </c>
      <c r="G38" s="73"/>
    </row>
    <row r="39" spans="1:8" s="64" customFormat="1" ht="102">
      <c r="A39" s="65">
        <v>37</v>
      </c>
      <c r="B39" s="66" t="s">
        <v>15</v>
      </c>
      <c r="C39" s="66" t="s">
        <v>30</v>
      </c>
      <c r="D39" s="66" t="s">
        <v>83</v>
      </c>
      <c r="E39" s="67" t="s">
        <v>86</v>
      </c>
      <c r="F39" s="67" t="s">
        <v>187</v>
      </c>
      <c r="G39" s="73"/>
    </row>
    <row r="40" spans="1:8" s="64" customFormat="1" ht="122.4">
      <c r="A40" s="65">
        <v>38</v>
      </c>
      <c r="B40" s="66" t="s">
        <v>15</v>
      </c>
      <c r="C40" s="66" t="s">
        <v>27</v>
      </c>
      <c r="D40" s="66" t="s">
        <v>83</v>
      </c>
      <c r="E40" s="67" t="s">
        <v>87</v>
      </c>
      <c r="F40" s="67" t="s">
        <v>188</v>
      </c>
      <c r="G40" s="73"/>
    </row>
    <row r="41" spans="1:8" ht="142.80000000000001">
      <c r="A41" s="65">
        <v>39</v>
      </c>
      <c r="B41" s="66" t="s">
        <v>15</v>
      </c>
      <c r="C41" s="66" t="s">
        <v>24</v>
      </c>
      <c r="D41" s="66" t="s">
        <v>83</v>
      </c>
      <c r="E41" s="68" t="s">
        <v>88</v>
      </c>
      <c r="F41" s="67" t="s">
        <v>189</v>
      </c>
      <c r="G41" s="73"/>
      <c r="H41" s="61"/>
    </row>
    <row r="42" spans="1:8" s="64" customFormat="1" ht="102">
      <c r="A42" s="65">
        <v>40</v>
      </c>
      <c r="B42" s="66" t="s">
        <v>17</v>
      </c>
      <c r="C42" s="66" t="s">
        <v>24</v>
      </c>
      <c r="D42" s="66" t="s">
        <v>83</v>
      </c>
      <c r="E42" s="67" t="s">
        <v>89</v>
      </c>
      <c r="F42" s="67" t="s">
        <v>190</v>
      </c>
      <c r="G42" s="73"/>
    </row>
    <row r="43" spans="1:8" s="64" customFormat="1" ht="102">
      <c r="A43" s="65">
        <v>41</v>
      </c>
      <c r="B43" s="66" t="s">
        <v>17</v>
      </c>
      <c r="C43" s="66" t="s">
        <v>24</v>
      </c>
      <c r="D43" s="66" t="s">
        <v>83</v>
      </c>
      <c r="E43" s="67" t="s">
        <v>90</v>
      </c>
      <c r="F43" s="67" t="s">
        <v>191</v>
      </c>
      <c r="G43" s="73"/>
    </row>
    <row r="44" spans="1:8" s="64" customFormat="1" ht="61.2">
      <c r="A44" s="65">
        <v>42</v>
      </c>
      <c r="B44" s="66" t="s">
        <v>15</v>
      </c>
      <c r="C44" s="66" t="s">
        <v>23</v>
      </c>
      <c r="D44" s="66" t="s">
        <v>91</v>
      </c>
      <c r="E44" s="67" t="s">
        <v>92</v>
      </c>
      <c r="F44" s="67" t="s">
        <v>192</v>
      </c>
      <c r="G44" s="73"/>
    </row>
    <row r="45" spans="1:8" s="64" customFormat="1" ht="122.4">
      <c r="A45" s="65">
        <v>43</v>
      </c>
      <c r="B45" s="66" t="s">
        <v>15</v>
      </c>
      <c r="C45" s="66" t="s">
        <v>30</v>
      </c>
      <c r="D45" s="66" t="s">
        <v>91</v>
      </c>
      <c r="E45" s="67" t="s">
        <v>93</v>
      </c>
      <c r="F45" s="67" t="s">
        <v>193</v>
      </c>
      <c r="G45" s="73"/>
    </row>
    <row r="46" spans="1:8" s="64" customFormat="1" ht="61.2">
      <c r="A46" s="65">
        <v>44</v>
      </c>
      <c r="B46" s="66" t="s">
        <v>15</v>
      </c>
      <c r="C46" s="66" t="s">
        <v>24</v>
      </c>
      <c r="D46" s="66" t="s">
        <v>91</v>
      </c>
      <c r="E46" s="67" t="s">
        <v>94</v>
      </c>
      <c r="F46" s="67" t="s">
        <v>194</v>
      </c>
      <c r="G46" s="73"/>
    </row>
    <row r="47" spans="1:8" ht="61.2">
      <c r="A47" s="65">
        <v>45</v>
      </c>
      <c r="B47" s="66" t="s">
        <v>15</v>
      </c>
      <c r="C47" s="66" t="s">
        <v>24</v>
      </c>
      <c r="D47" s="66" t="s">
        <v>91</v>
      </c>
      <c r="E47" s="68" t="s">
        <v>95</v>
      </c>
      <c r="F47" s="67" t="s">
        <v>195</v>
      </c>
      <c r="G47" s="73"/>
      <c r="H47" s="61"/>
    </row>
    <row r="48" spans="1:8" ht="81.599999999999994">
      <c r="A48" s="65">
        <v>46</v>
      </c>
      <c r="B48" s="66" t="s">
        <v>15</v>
      </c>
      <c r="C48" s="66" t="s">
        <v>25</v>
      </c>
      <c r="D48" s="66" t="s">
        <v>91</v>
      </c>
      <c r="E48" s="68" t="s">
        <v>96</v>
      </c>
      <c r="F48" s="67" t="s">
        <v>196</v>
      </c>
      <c r="G48" s="73"/>
      <c r="H48" s="61"/>
    </row>
    <row r="49" spans="1:8" ht="61.2">
      <c r="A49" s="65">
        <v>47</v>
      </c>
      <c r="B49" s="66" t="s">
        <v>15</v>
      </c>
      <c r="C49" s="66" t="s">
        <v>25</v>
      </c>
      <c r="D49" s="66" t="s">
        <v>91</v>
      </c>
      <c r="E49" s="68" t="s">
        <v>97</v>
      </c>
      <c r="F49" s="67" t="s">
        <v>197</v>
      </c>
      <c r="G49" s="73"/>
      <c r="H49" s="61"/>
    </row>
    <row r="50" spans="1:8" ht="61.2">
      <c r="A50" s="65">
        <v>48</v>
      </c>
      <c r="B50" s="66" t="s">
        <v>15</v>
      </c>
      <c r="C50" s="66" t="s">
        <v>25</v>
      </c>
      <c r="D50" s="66" t="s">
        <v>91</v>
      </c>
      <c r="E50" s="68" t="s">
        <v>98</v>
      </c>
      <c r="F50" s="67" t="s">
        <v>198</v>
      </c>
      <c r="G50" s="73"/>
      <c r="H50" s="61"/>
    </row>
    <row r="51" spans="1:8" ht="40.799999999999997">
      <c r="A51" s="65">
        <v>49</v>
      </c>
      <c r="B51" s="66" t="s">
        <v>15</v>
      </c>
      <c r="C51" s="66" t="s">
        <v>27</v>
      </c>
      <c r="D51" s="66" t="s">
        <v>91</v>
      </c>
      <c r="E51" s="68" t="s">
        <v>99</v>
      </c>
      <c r="F51" s="67" t="s">
        <v>199</v>
      </c>
      <c r="G51" s="73"/>
      <c r="H51" s="61"/>
    </row>
    <row r="52" spans="1:8" ht="61.2">
      <c r="A52" s="65">
        <v>50</v>
      </c>
      <c r="B52" s="66" t="s">
        <v>15</v>
      </c>
      <c r="C52" s="66" t="s">
        <v>27</v>
      </c>
      <c r="D52" s="66" t="s">
        <v>91</v>
      </c>
      <c r="E52" s="68" t="s">
        <v>100</v>
      </c>
      <c r="F52" s="67" t="s">
        <v>200</v>
      </c>
      <c r="G52" s="73"/>
      <c r="H52" s="61"/>
    </row>
    <row r="53" spans="1:8" ht="102">
      <c r="A53" s="65">
        <v>51</v>
      </c>
      <c r="B53" s="66" t="s">
        <v>15</v>
      </c>
      <c r="C53" s="66" t="s">
        <v>28</v>
      </c>
      <c r="D53" s="66" t="s">
        <v>91</v>
      </c>
      <c r="E53" s="68" t="s">
        <v>101</v>
      </c>
      <c r="F53" s="67" t="s">
        <v>201</v>
      </c>
      <c r="G53" s="73"/>
      <c r="H53" s="61"/>
    </row>
    <row r="54" spans="1:8" ht="102">
      <c r="A54" s="65">
        <v>52</v>
      </c>
      <c r="B54" s="66" t="s">
        <v>15</v>
      </c>
      <c r="C54" s="66" t="s">
        <v>29</v>
      </c>
      <c r="D54" s="66" t="s">
        <v>91</v>
      </c>
      <c r="E54" s="68" t="s">
        <v>102</v>
      </c>
      <c r="F54" s="67" t="s">
        <v>202</v>
      </c>
      <c r="G54" s="73"/>
      <c r="H54" s="61"/>
    </row>
    <row r="55" spans="1:8" ht="61.2">
      <c r="A55" s="65">
        <v>53</v>
      </c>
      <c r="B55" s="66" t="s">
        <v>15</v>
      </c>
      <c r="C55" s="66" t="s">
        <v>29</v>
      </c>
      <c r="D55" s="66" t="s">
        <v>91</v>
      </c>
      <c r="E55" s="68" t="s">
        <v>103</v>
      </c>
      <c r="F55" s="67" t="s">
        <v>203</v>
      </c>
      <c r="G55" s="73"/>
      <c r="H55" s="61"/>
    </row>
    <row r="56" spans="1:8" ht="122.4">
      <c r="A56" s="65">
        <v>54</v>
      </c>
      <c r="B56" s="66" t="s">
        <v>17</v>
      </c>
      <c r="C56" s="66" t="s">
        <v>24</v>
      </c>
      <c r="D56" s="66" t="s">
        <v>91</v>
      </c>
      <c r="E56" s="68" t="s">
        <v>104</v>
      </c>
      <c r="F56" s="67" t="s">
        <v>204</v>
      </c>
      <c r="G56" s="73"/>
      <c r="H56" s="61"/>
    </row>
    <row r="57" spans="1:8" ht="61.2">
      <c r="A57" s="65">
        <v>55</v>
      </c>
      <c r="B57" s="66" t="s">
        <v>15</v>
      </c>
      <c r="C57" s="66" t="s">
        <v>24</v>
      </c>
      <c r="D57" s="66" t="s">
        <v>91</v>
      </c>
      <c r="E57" s="68" t="s">
        <v>105</v>
      </c>
      <c r="F57" s="67" t="s">
        <v>205</v>
      </c>
      <c r="G57" s="73"/>
      <c r="H57" s="61"/>
    </row>
    <row r="58" spans="1:8" ht="102">
      <c r="A58" s="65">
        <v>56</v>
      </c>
      <c r="B58" s="66" t="s">
        <v>15</v>
      </c>
      <c r="C58" s="66" t="s">
        <v>28</v>
      </c>
      <c r="D58" s="66" t="s">
        <v>91</v>
      </c>
      <c r="E58" s="68" t="s">
        <v>106</v>
      </c>
      <c r="F58" s="67" t="s">
        <v>206</v>
      </c>
      <c r="G58" s="73"/>
      <c r="H58" s="61"/>
    </row>
    <row r="59" spans="1:8" ht="122.4">
      <c r="A59" s="65">
        <v>57</v>
      </c>
      <c r="B59" s="66" t="s">
        <v>15</v>
      </c>
      <c r="C59" s="66" t="s">
        <v>29</v>
      </c>
      <c r="D59" s="66" t="s">
        <v>91</v>
      </c>
      <c r="E59" s="69" t="s">
        <v>107</v>
      </c>
      <c r="F59" s="67" t="s">
        <v>207</v>
      </c>
      <c r="G59" s="73"/>
      <c r="H59" s="61"/>
    </row>
    <row r="60" spans="1:8" s="64" customFormat="1" ht="81.599999999999994">
      <c r="A60" s="65">
        <v>58</v>
      </c>
      <c r="B60" s="66" t="s">
        <v>15</v>
      </c>
      <c r="C60" s="66" t="s">
        <v>31</v>
      </c>
      <c r="D60" s="66" t="s">
        <v>91</v>
      </c>
      <c r="E60" s="67" t="s">
        <v>108</v>
      </c>
      <c r="F60" s="67" t="s">
        <v>208</v>
      </c>
      <c r="G60" s="73"/>
    </row>
    <row r="61" spans="1:8" ht="102">
      <c r="A61" s="65">
        <v>59</v>
      </c>
      <c r="B61" s="66" t="s">
        <v>15</v>
      </c>
      <c r="C61" s="66" t="s">
        <v>31</v>
      </c>
      <c r="D61" s="66" t="s">
        <v>91</v>
      </c>
      <c r="E61" s="68" t="s">
        <v>109</v>
      </c>
      <c r="F61" s="67" t="s">
        <v>209</v>
      </c>
      <c r="G61" s="73"/>
      <c r="H61" s="61"/>
    </row>
    <row r="62" spans="1:8" s="64" customFormat="1" ht="61.2">
      <c r="A62" s="65">
        <v>60</v>
      </c>
      <c r="B62" s="66" t="s">
        <v>17</v>
      </c>
      <c r="C62" s="66" t="s">
        <v>31</v>
      </c>
      <c r="D62" s="66" t="s">
        <v>91</v>
      </c>
      <c r="E62" s="67" t="s">
        <v>110</v>
      </c>
      <c r="F62" s="67" t="s">
        <v>210</v>
      </c>
      <c r="G62" s="73"/>
    </row>
    <row r="63" spans="1:8" ht="61.2">
      <c r="A63" s="65">
        <v>61</v>
      </c>
      <c r="B63" s="66" t="s">
        <v>15</v>
      </c>
      <c r="C63" s="66" t="s">
        <v>30</v>
      </c>
      <c r="D63" s="66" t="s">
        <v>111</v>
      </c>
      <c r="E63" s="68" t="s">
        <v>112</v>
      </c>
      <c r="F63" s="67" t="s">
        <v>211</v>
      </c>
      <c r="G63" s="73"/>
      <c r="H63" s="61"/>
    </row>
    <row r="64" spans="1:8" s="64" customFormat="1" ht="61.2">
      <c r="A64" s="65">
        <v>62</v>
      </c>
      <c r="B64" s="66" t="s">
        <v>15</v>
      </c>
      <c r="C64" s="66" t="s">
        <v>30</v>
      </c>
      <c r="D64" s="66" t="s">
        <v>111</v>
      </c>
      <c r="E64" s="67" t="s">
        <v>113</v>
      </c>
      <c r="F64" s="67" t="s">
        <v>212</v>
      </c>
      <c r="G64" s="73"/>
    </row>
    <row r="65" spans="1:8" s="64" customFormat="1" ht="142.80000000000001">
      <c r="A65" s="65">
        <v>63</v>
      </c>
      <c r="B65" s="66" t="s">
        <v>15</v>
      </c>
      <c r="C65" s="66" t="s">
        <v>30</v>
      </c>
      <c r="D65" s="66" t="s">
        <v>111</v>
      </c>
      <c r="E65" s="67" t="s">
        <v>114</v>
      </c>
      <c r="F65" s="67" t="s">
        <v>213</v>
      </c>
      <c r="G65" s="73"/>
    </row>
    <row r="66" spans="1:8" s="64" customFormat="1" ht="244.8">
      <c r="A66" s="65">
        <v>64</v>
      </c>
      <c r="B66" s="66" t="s">
        <v>15</v>
      </c>
      <c r="C66" s="66" t="s">
        <v>31</v>
      </c>
      <c r="D66" s="66" t="s">
        <v>111</v>
      </c>
      <c r="E66" s="67" t="s">
        <v>115</v>
      </c>
      <c r="F66" s="67" t="s">
        <v>214</v>
      </c>
      <c r="G66" s="73"/>
    </row>
    <row r="67" spans="1:8" s="64" customFormat="1" ht="142.80000000000001">
      <c r="A67" s="65">
        <v>65</v>
      </c>
      <c r="B67" s="66" t="s">
        <v>15</v>
      </c>
      <c r="C67" s="66" t="s">
        <v>31</v>
      </c>
      <c r="D67" s="66" t="s">
        <v>111</v>
      </c>
      <c r="E67" s="67" t="s">
        <v>116</v>
      </c>
      <c r="F67" s="67" t="s">
        <v>215</v>
      </c>
      <c r="G67" s="73"/>
    </row>
    <row r="68" spans="1:8" s="64" customFormat="1" ht="81.599999999999994">
      <c r="A68" s="65">
        <v>66</v>
      </c>
      <c r="B68" s="66" t="s">
        <v>15</v>
      </c>
      <c r="C68" s="66" t="s">
        <v>31</v>
      </c>
      <c r="D68" s="66" t="s">
        <v>111</v>
      </c>
      <c r="E68" s="67" t="s">
        <v>117</v>
      </c>
      <c r="F68" s="67" t="s">
        <v>216</v>
      </c>
      <c r="G68" s="73"/>
    </row>
    <row r="69" spans="1:8" s="64" customFormat="1" ht="122.4">
      <c r="A69" s="65">
        <v>67</v>
      </c>
      <c r="B69" s="66" t="s">
        <v>15</v>
      </c>
      <c r="C69" s="66" t="s">
        <v>31</v>
      </c>
      <c r="D69" s="66" t="s">
        <v>118</v>
      </c>
      <c r="E69" s="67" t="s">
        <v>119</v>
      </c>
      <c r="F69" s="67" t="s">
        <v>217</v>
      </c>
      <c r="G69" s="73"/>
    </row>
    <row r="70" spans="1:8" s="64" customFormat="1" ht="81.599999999999994">
      <c r="A70" s="65">
        <v>68</v>
      </c>
      <c r="B70" s="66" t="s">
        <v>15</v>
      </c>
      <c r="C70" s="66" t="s">
        <v>31</v>
      </c>
      <c r="D70" s="66" t="s">
        <v>118</v>
      </c>
      <c r="E70" s="67" t="s">
        <v>120</v>
      </c>
      <c r="F70" s="67" t="s">
        <v>218</v>
      </c>
      <c r="G70" s="73"/>
    </row>
    <row r="71" spans="1:8" s="64" customFormat="1" ht="40.799999999999997">
      <c r="A71" s="65">
        <v>69</v>
      </c>
      <c r="B71" s="66" t="s">
        <v>17</v>
      </c>
      <c r="C71" s="66" t="s">
        <v>31</v>
      </c>
      <c r="D71" s="66" t="s">
        <v>118</v>
      </c>
      <c r="E71" s="67" t="s">
        <v>121</v>
      </c>
      <c r="F71" s="67" t="s">
        <v>219</v>
      </c>
      <c r="G71" s="73"/>
    </row>
    <row r="72" spans="1:8" s="64" customFormat="1" ht="183.6">
      <c r="A72" s="65">
        <v>70</v>
      </c>
      <c r="B72" s="66" t="s">
        <v>15</v>
      </c>
      <c r="C72" s="66" t="s">
        <v>24</v>
      </c>
      <c r="D72" s="66" t="s">
        <v>122</v>
      </c>
      <c r="E72" s="67" t="s">
        <v>123</v>
      </c>
      <c r="F72" s="67" t="s">
        <v>220</v>
      </c>
      <c r="G72" s="73"/>
    </row>
    <row r="73" spans="1:8" s="64" customFormat="1" ht="81.599999999999994">
      <c r="A73" s="65">
        <v>71</v>
      </c>
      <c r="B73" s="66" t="s">
        <v>17</v>
      </c>
      <c r="C73" s="66" t="s">
        <v>24</v>
      </c>
      <c r="D73" s="66" t="s">
        <v>122</v>
      </c>
      <c r="E73" s="67" t="s">
        <v>124</v>
      </c>
      <c r="F73" s="67" t="s">
        <v>221</v>
      </c>
      <c r="G73" s="73"/>
    </row>
    <row r="74" spans="1:8" s="64" customFormat="1" ht="61.2">
      <c r="A74" s="65">
        <v>72</v>
      </c>
      <c r="B74" s="66" t="s">
        <v>15</v>
      </c>
      <c r="C74" s="66" t="s">
        <v>31</v>
      </c>
      <c r="D74" s="66" t="s">
        <v>122</v>
      </c>
      <c r="E74" s="67" t="s">
        <v>125</v>
      </c>
      <c r="F74" s="67" t="s">
        <v>222</v>
      </c>
      <c r="G74" s="73"/>
    </row>
    <row r="75" spans="1:8" s="64" customFormat="1" ht="142.80000000000001">
      <c r="A75" s="65">
        <v>73</v>
      </c>
      <c r="B75" s="66" t="s">
        <v>15</v>
      </c>
      <c r="C75" s="66" t="s">
        <v>31</v>
      </c>
      <c r="D75" s="66" t="s">
        <v>122</v>
      </c>
      <c r="E75" s="67" t="s">
        <v>126</v>
      </c>
      <c r="F75" s="67" t="s">
        <v>223</v>
      </c>
      <c r="G75" s="73"/>
    </row>
    <row r="76" spans="1:8" s="64" customFormat="1" ht="61.2">
      <c r="A76" s="65">
        <v>74</v>
      </c>
      <c r="B76" s="66" t="s">
        <v>15</v>
      </c>
      <c r="C76" s="66" t="s">
        <v>32</v>
      </c>
      <c r="D76" s="66" t="s">
        <v>122</v>
      </c>
      <c r="E76" s="67" t="s">
        <v>127</v>
      </c>
      <c r="F76" s="67" t="s">
        <v>224</v>
      </c>
      <c r="G76" s="73"/>
    </row>
    <row r="77" spans="1:8" s="64" customFormat="1" ht="142.80000000000001">
      <c r="A77" s="65">
        <v>75</v>
      </c>
      <c r="B77" s="66" t="s">
        <v>15</v>
      </c>
      <c r="C77" s="66" t="s">
        <v>32</v>
      </c>
      <c r="D77" s="66" t="s">
        <v>122</v>
      </c>
      <c r="E77" s="67" t="s">
        <v>128</v>
      </c>
      <c r="F77" s="67" t="s">
        <v>225</v>
      </c>
      <c r="G77" s="73"/>
    </row>
    <row r="78" spans="1:8" ht="61.2">
      <c r="A78" s="65">
        <v>76</v>
      </c>
      <c r="B78" s="66" t="s">
        <v>15</v>
      </c>
      <c r="C78" s="66" t="s">
        <v>30</v>
      </c>
      <c r="D78" s="66" t="s">
        <v>122</v>
      </c>
      <c r="E78" s="67" t="s">
        <v>129</v>
      </c>
      <c r="F78" s="67" t="s">
        <v>226</v>
      </c>
      <c r="G78" s="73"/>
      <c r="H78" s="61"/>
    </row>
    <row r="79" spans="1:8" ht="142.80000000000001">
      <c r="A79" s="65">
        <v>77</v>
      </c>
      <c r="B79" s="66" t="s">
        <v>15</v>
      </c>
      <c r="C79" s="66" t="s">
        <v>22</v>
      </c>
      <c r="D79" s="66" t="s">
        <v>130</v>
      </c>
      <c r="E79" s="67" t="s">
        <v>131</v>
      </c>
      <c r="F79" s="67" t="s">
        <v>227</v>
      </c>
      <c r="G79" s="73"/>
    </row>
    <row r="80" spans="1:8" ht="102">
      <c r="A80" s="65">
        <v>78</v>
      </c>
      <c r="B80" s="66" t="s">
        <v>17</v>
      </c>
      <c r="C80" s="66" t="s">
        <v>22</v>
      </c>
      <c r="D80" s="66" t="s">
        <v>132</v>
      </c>
      <c r="E80" s="67" t="s">
        <v>133</v>
      </c>
      <c r="F80" s="67" t="s">
        <v>228</v>
      </c>
      <c r="G80" s="73"/>
    </row>
    <row r="81" spans="1:7" ht="102">
      <c r="A81" s="65">
        <v>79</v>
      </c>
      <c r="B81" s="66" t="s">
        <v>15</v>
      </c>
      <c r="C81" s="66" t="s">
        <v>22</v>
      </c>
      <c r="D81" s="66" t="s">
        <v>134</v>
      </c>
      <c r="E81" s="67" t="s">
        <v>135</v>
      </c>
      <c r="F81" s="67" t="s">
        <v>229</v>
      </c>
      <c r="G81" s="73"/>
    </row>
    <row r="82" spans="1:7" ht="102">
      <c r="A82" s="65">
        <v>80</v>
      </c>
      <c r="B82" s="66" t="s">
        <v>15</v>
      </c>
      <c r="C82" s="66" t="s">
        <v>22</v>
      </c>
      <c r="D82" s="66" t="s">
        <v>134</v>
      </c>
      <c r="E82" s="67" t="s">
        <v>136</v>
      </c>
      <c r="F82" s="67" t="s">
        <v>230</v>
      </c>
      <c r="G82" s="73"/>
    </row>
    <row r="83" spans="1:7" ht="40.799999999999997">
      <c r="A83" s="65">
        <v>81</v>
      </c>
      <c r="B83" s="66" t="s">
        <v>15</v>
      </c>
      <c r="C83" s="66" t="s">
        <v>32</v>
      </c>
      <c r="D83" s="66" t="s">
        <v>137</v>
      </c>
      <c r="E83" s="67" t="s">
        <v>138</v>
      </c>
      <c r="F83" s="67" t="s">
        <v>231</v>
      </c>
      <c r="G83" s="73"/>
    </row>
    <row r="84" spans="1:7" ht="40.799999999999997">
      <c r="A84" s="65">
        <v>82</v>
      </c>
      <c r="B84" s="66" t="s">
        <v>15</v>
      </c>
      <c r="C84" s="66" t="s">
        <v>33</v>
      </c>
      <c r="D84" s="66" t="s">
        <v>139</v>
      </c>
      <c r="E84" s="67" t="s">
        <v>140</v>
      </c>
      <c r="F84" s="67" t="s">
        <v>232</v>
      </c>
      <c r="G84" s="73"/>
    </row>
    <row r="85" spans="1:7" ht="102">
      <c r="A85" s="65">
        <v>83</v>
      </c>
      <c r="B85" s="66" t="s">
        <v>15</v>
      </c>
      <c r="C85" s="66" t="s">
        <v>33</v>
      </c>
      <c r="D85" s="66" t="s">
        <v>141</v>
      </c>
      <c r="E85" s="67" t="s">
        <v>142</v>
      </c>
      <c r="F85" s="67" t="s">
        <v>232</v>
      </c>
      <c r="G85" s="73"/>
    </row>
    <row r="86" spans="1:7" ht="40.799999999999997">
      <c r="A86" s="65">
        <v>84</v>
      </c>
      <c r="B86" s="66" t="s">
        <v>15</v>
      </c>
      <c r="C86" s="66" t="s">
        <v>33</v>
      </c>
      <c r="D86" s="66" t="s">
        <v>143</v>
      </c>
      <c r="E86" s="67" t="s">
        <v>144</v>
      </c>
      <c r="F86" s="67" t="s">
        <v>232</v>
      </c>
      <c r="G86" s="73"/>
    </row>
    <row r="87" spans="1:7" ht="40.799999999999997">
      <c r="A87" s="65">
        <v>85</v>
      </c>
      <c r="B87" s="66" t="s">
        <v>15</v>
      </c>
      <c r="C87" s="66" t="s">
        <v>33</v>
      </c>
      <c r="D87" s="66" t="s">
        <v>145</v>
      </c>
      <c r="E87" s="67" t="s">
        <v>146</v>
      </c>
      <c r="F87" s="67" t="s">
        <v>232</v>
      </c>
      <c r="G87" s="73"/>
    </row>
    <row r="88" spans="1:7" ht="102">
      <c r="A88" s="65">
        <v>86</v>
      </c>
      <c r="B88" s="66" t="s">
        <v>15</v>
      </c>
      <c r="C88" s="66" t="s">
        <v>33</v>
      </c>
      <c r="D88" s="66" t="s">
        <v>147</v>
      </c>
      <c r="E88" s="67" t="s">
        <v>148</v>
      </c>
      <c r="F88" s="67" t="s">
        <v>233</v>
      </c>
      <c r="G88" s="73"/>
    </row>
    <row r="89" spans="1:7" ht="102">
      <c r="A89" s="65">
        <v>87</v>
      </c>
      <c r="B89" s="66" t="s">
        <v>15</v>
      </c>
      <c r="C89" s="66" t="s">
        <v>23</v>
      </c>
      <c r="D89" s="66" t="s">
        <v>149</v>
      </c>
      <c r="E89" s="67" t="s">
        <v>150</v>
      </c>
      <c r="F89" s="67" t="s">
        <v>234</v>
      </c>
      <c r="G89" s="73"/>
    </row>
    <row r="90" spans="1:7" ht="142.80000000000001">
      <c r="A90" s="65">
        <v>88</v>
      </c>
      <c r="B90" s="66" t="s">
        <v>15</v>
      </c>
      <c r="C90" s="66" t="s">
        <v>23</v>
      </c>
      <c r="D90" s="66" t="s">
        <v>149</v>
      </c>
      <c r="E90" s="67" t="s">
        <v>151</v>
      </c>
      <c r="F90" s="67" t="s">
        <v>234</v>
      </c>
      <c r="G90" s="73"/>
    </row>
    <row r="91" spans="1:7" ht="40.799999999999997">
      <c r="A91" s="65">
        <v>89</v>
      </c>
      <c r="B91" s="66" t="s">
        <v>15</v>
      </c>
      <c r="C91" s="66" t="s">
        <v>23</v>
      </c>
      <c r="D91" s="66" t="s">
        <v>152</v>
      </c>
      <c r="E91" s="67" t="s">
        <v>153</v>
      </c>
      <c r="F91" s="67" t="s">
        <v>234</v>
      </c>
      <c r="G91" s="73"/>
    </row>
    <row r="92" spans="1:7" ht="40.799999999999997">
      <c r="A92" s="65">
        <v>90</v>
      </c>
      <c r="B92" s="66" t="s">
        <v>15</v>
      </c>
      <c r="C92" s="66" t="s">
        <v>23</v>
      </c>
      <c r="D92" s="66" t="s">
        <v>111</v>
      </c>
      <c r="E92" s="67" t="s">
        <v>154</v>
      </c>
      <c r="F92" s="67" t="s">
        <v>235</v>
      </c>
      <c r="G92" s="73"/>
    </row>
    <row r="93" spans="1:7" ht="21">
      <c r="A93" s="62"/>
      <c r="B93" s="63" t="s">
        <v>8</v>
      </c>
      <c r="C93" s="63"/>
      <c r="D93" s="63"/>
      <c r="E93" s="67"/>
      <c r="F93" s="70"/>
      <c r="G93" s="63"/>
    </row>
  </sheetData>
  <pageMargins left="0.7" right="0.7" top="0.75" bottom="0.75" header="0.3" footer="0.3"/>
  <pageSetup scale="41"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88671875" defaultRowHeight="14.4"/>
  <cols>
    <col min="1" max="1" width="33.88671875" style="9" bestFit="1" customWidth="1"/>
    <col min="2" max="2" width="18.5546875" style="9" bestFit="1" customWidth="1"/>
    <col min="3" max="4" width="18.5546875" style="10" bestFit="1" customWidth="1"/>
    <col min="5" max="5" width="11.44140625" style="10" bestFit="1" customWidth="1"/>
    <col min="6" max="6" width="13.33203125" style="10" customWidth="1"/>
    <col min="7" max="7" width="12.6640625" style="9" bestFit="1" customWidth="1"/>
    <col min="8" max="8" width="19.5546875" style="9" bestFit="1" customWidth="1"/>
    <col min="9" max="9" width="18" style="9" bestFit="1" customWidth="1"/>
    <col min="10" max="16384" width="8.88671875" style="9"/>
  </cols>
  <sheetData>
    <row r="2" spans="1:6">
      <c r="A2" s="12"/>
      <c r="B2" s="13" t="s">
        <v>236</v>
      </c>
      <c r="C2" s="14"/>
      <c r="D2" s="14"/>
      <c r="E2" s="14"/>
      <c r="F2"/>
    </row>
    <row r="3" spans="1:6">
      <c r="A3" s="11" t="s">
        <v>35</v>
      </c>
      <c r="B3" s="14" t="s">
        <v>13</v>
      </c>
      <c r="C3" s="14" t="s">
        <v>15</v>
      </c>
      <c r="D3" s="14" t="s">
        <v>17</v>
      </c>
      <c r="E3" s="14" t="s">
        <v>237</v>
      </c>
      <c r="F3"/>
    </row>
    <row r="4" spans="1:6">
      <c r="A4" s="12" t="s">
        <v>238</v>
      </c>
      <c r="B4" s="14"/>
      <c r="C4" s="14"/>
      <c r="D4" s="14"/>
      <c r="E4" s="14"/>
      <c r="F4"/>
    </row>
    <row r="5" spans="1:6">
      <c r="A5" s="12" t="s">
        <v>239</v>
      </c>
      <c r="B5" s="14"/>
      <c r="C5" s="14"/>
      <c r="D5" s="14"/>
      <c r="E5" s="14"/>
      <c r="F5"/>
    </row>
    <row r="6" spans="1:6">
      <c r="A6" s="12" t="s">
        <v>240</v>
      </c>
      <c r="B6" s="14"/>
      <c r="C6" s="14"/>
      <c r="D6" s="14"/>
      <c r="E6" s="14"/>
      <c r="F6"/>
    </row>
    <row r="7" spans="1:6">
      <c r="A7" s="12" t="s">
        <v>241</v>
      </c>
      <c r="B7" s="14"/>
      <c r="C7" s="14"/>
      <c r="D7" s="14"/>
      <c r="E7" s="14"/>
      <c r="F7"/>
    </row>
    <row r="8" spans="1:6">
      <c r="A8" s="12" t="s">
        <v>242</v>
      </c>
      <c r="B8" s="14"/>
      <c r="C8" s="14"/>
      <c r="D8" s="14"/>
      <c r="E8" s="14"/>
      <c r="F8"/>
    </row>
    <row r="9" spans="1:6">
      <c r="A9" s="12" t="s">
        <v>243</v>
      </c>
      <c r="B9" s="14"/>
      <c r="C9" s="14"/>
      <c r="D9" s="14"/>
      <c r="E9" s="14"/>
      <c r="F9"/>
    </row>
    <row r="10" spans="1:6">
      <c r="A10" s="12" t="s">
        <v>244</v>
      </c>
      <c r="B10" s="14"/>
      <c r="C10" s="14"/>
      <c r="D10" s="14"/>
      <c r="E10" s="14"/>
      <c r="F10"/>
    </row>
    <row r="11" spans="1:6">
      <c r="A11" s="12" t="s">
        <v>245</v>
      </c>
      <c r="B11" s="14"/>
      <c r="C11" s="14"/>
      <c r="D11" s="14"/>
      <c r="E11" s="14"/>
      <c r="F11"/>
    </row>
    <row r="12" spans="1:6">
      <c r="A12" s="12" t="s">
        <v>246</v>
      </c>
      <c r="B12" s="14"/>
      <c r="C12" s="14"/>
      <c r="D12" s="14"/>
      <c r="E12" s="14"/>
      <c r="F12"/>
    </row>
    <row r="13" spans="1:6">
      <c r="A13" s="12" t="s">
        <v>247</v>
      </c>
      <c r="B13" s="14"/>
      <c r="C13" s="14"/>
      <c r="D13" s="14"/>
      <c r="E13" s="14"/>
      <c r="F13"/>
    </row>
    <row r="14" spans="1:6">
      <c r="A14" s="12" t="s">
        <v>248</v>
      </c>
      <c r="B14" s="14"/>
      <c r="C14" s="14"/>
      <c r="D14" s="14"/>
      <c r="E14" s="14"/>
      <c r="F14"/>
    </row>
    <row r="15" spans="1:6">
      <c r="A15" s="12" t="s">
        <v>249</v>
      </c>
      <c r="B15" s="14"/>
      <c r="C15" s="14"/>
      <c r="D15" s="14"/>
      <c r="E15" s="14"/>
      <c r="F15"/>
    </row>
    <row r="16" spans="1:6">
      <c r="A16" s="12" t="s">
        <v>250</v>
      </c>
      <c r="B16" s="14"/>
      <c r="C16" s="14"/>
      <c r="D16" s="14"/>
      <c r="E16" s="14"/>
      <c r="F16"/>
    </row>
    <row r="17" spans="1:6">
      <c r="A17" s="12" t="s">
        <v>251</v>
      </c>
      <c r="B17" s="14"/>
      <c r="C17" s="14"/>
      <c r="D17" s="14"/>
      <c r="E17" s="14"/>
      <c r="F17"/>
    </row>
    <row r="18" spans="1:6">
      <c r="A18" s="12" t="s">
        <v>252</v>
      </c>
      <c r="B18" s="14"/>
      <c r="C18" s="14"/>
      <c r="D18" s="14"/>
      <c r="E18" s="14"/>
      <c r="F18"/>
    </row>
    <row r="19" spans="1:6">
      <c r="A19" s="12" t="s">
        <v>253</v>
      </c>
      <c r="B19" s="14"/>
      <c r="C19" s="14"/>
      <c r="D19" s="14"/>
      <c r="E19" s="14"/>
      <c r="F19"/>
    </row>
    <row r="20" spans="1:6">
      <c r="A20" s="12" t="s">
        <v>254</v>
      </c>
      <c r="B20" s="14"/>
      <c r="C20" s="14"/>
      <c r="D20" s="14"/>
      <c r="E20" s="14"/>
      <c r="F20"/>
    </row>
    <row r="21" spans="1:6">
      <c r="A21" s="12" t="s">
        <v>255</v>
      </c>
      <c r="B21" s="14"/>
      <c r="C21" s="14"/>
      <c r="D21" s="14"/>
      <c r="E21" s="14"/>
      <c r="F21"/>
    </row>
    <row r="22" spans="1:6">
      <c r="A22" s="12" t="s">
        <v>256</v>
      </c>
      <c r="B22" s="14"/>
      <c r="C22" s="14"/>
      <c r="D22" s="14"/>
      <c r="E22" s="14"/>
      <c r="F22"/>
    </row>
    <row r="23" spans="1:6">
      <c r="A23" s="12" t="s">
        <v>257</v>
      </c>
      <c r="B23" s="14"/>
      <c r="C23" s="14"/>
      <c r="D23" s="14"/>
      <c r="E23" s="14"/>
      <c r="F23"/>
    </row>
    <row r="24" spans="1:6">
      <c r="A24" s="12" t="s">
        <v>258</v>
      </c>
      <c r="B24" s="14"/>
      <c r="C24" s="14"/>
      <c r="D24" s="14"/>
      <c r="E24" s="14"/>
      <c r="F24"/>
    </row>
    <row r="25" spans="1:6">
      <c r="A25" s="12" t="s">
        <v>259</v>
      </c>
      <c r="B25" s="14"/>
      <c r="C25" s="14"/>
      <c r="D25" s="14"/>
      <c r="E25" s="14"/>
      <c r="F25"/>
    </row>
    <row r="26" spans="1:6">
      <c r="A26" s="12" t="s">
        <v>260</v>
      </c>
      <c r="B26" s="14"/>
      <c r="C26" s="14"/>
      <c r="D26" s="14"/>
      <c r="E26" s="14"/>
      <c r="F26"/>
    </row>
    <row r="27" spans="1:6">
      <c r="A27" s="12" t="s">
        <v>261</v>
      </c>
      <c r="B27" s="14"/>
      <c r="C27" s="14"/>
      <c r="D27" s="14"/>
      <c r="E27" s="14"/>
      <c r="F27"/>
    </row>
    <row r="28" spans="1:6">
      <c r="A28" s="12" t="s">
        <v>262</v>
      </c>
      <c r="B28" s="14"/>
      <c r="C28" s="14"/>
      <c r="D28" s="14"/>
      <c r="E28" s="14"/>
      <c r="F28"/>
    </row>
    <row r="29" spans="1:6">
      <c r="A29" s="12" t="s">
        <v>263</v>
      </c>
      <c r="B29" s="14"/>
      <c r="C29" s="14"/>
      <c r="D29" s="14"/>
      <c r="E29" s="14"/>
      <c r="F29"/>
    </row>
    <row r="30" spans="1:6">
      <c r="A30" s="12" t="s">
        <v>264</v>
      </c>
      <c r="B30" s="14"/>
      <c r="C30" s="14"/>
      <c r="D30" s="14"/>
      <c r="E30" s="14"/>
      <c r="F30"/>
    </row>
    <row r="31" spans="1:6">
      <c r="A31" s="12" t="s">
        <v>265</v>
      </c>
      <c r="B31" s="14"/>
      <c r="C31" s="14"/>
      <c r="D31" s="14"/>
      <c r="E31" s="14"/>
      <c r="F31"/>
    </row>
    <row r="32" spans="1:6">
      <c r="A32" s="12" t="s">
        <v>266</v>
      </c>
      <c r="B32" s="14"/>
      <c r="C32" s="14"/>
      <c r="D32" s="14"/>
      <c r="E32" s="14"/>
      <c r="F32"/>
    </row>
    <row r="33" spans="1:6">
      <c r="A33" s="12" t="s">
        <v>267</v>
      </c>
      <c r="B33" s="14"/>
      <c r="C33" s="14"/>
      <c r="D33" s="14"/>
      <c r="E33" s="14"/>
      <c r="F33"/>
    </row>
    <row r="34" spans="1:6">
      <c r="A34" s="12" t="s">
        <v>268</v>
      </c>
      <c r="B34" s="14"/>
      <c r="C34" s="14"/>
      <c r="D34" s="14"/>
      <c r="E34" s="14"/>
      <c r="F34"/>
    </row>
    <row r="35" spans="1:6">
      <c r="A35" s="12" t="s">
        <v>269</v>
      </c>
      <c r="B35" s="14"/>
      <c r="C35" s="14"/>
      <c r="D35" s="14"/>
      <c r="E35" s="14"/>
      <c r="F35"/>
    </row>
    <row r="36" spans="1:6">
      <c r="A36" s="12" t="s">
        <v>270</v>
      </c>
      <c r="B36" s="14"/>
      <c r="C36" s="14"/>
      <c r="D36" s="14"/>
      <c r="E36" s="14"/>
      <c r="F36"/>
    </row>
    <row r="37" spans="1:6">
      <c r="A37" s="12" t="s">
        <v>271</v>
      </c>
      <c r="B37" s="14"/>
      <c r="C37" s="14"/>
      <c r="D37" s="14"/>
      <c r="E37" s="14"/>
      <c r="F37"/>
    </row>
    <row r="38" spans="1:6">
      <c r="A38" s="12" t="s">
        <v>272</v>
      </c>
      <c r="B38" s="14"/>
      <c r="C38" s="14"/>
      <c r="D38" s="14"/>
      <c r="E38" s="14"/>
      <c r="F38"/>
    </row>
    <row r="39" spans="1:6">
      <c r="A39" s="12" t="s">
        <v>273</v>
      </c>
      <c r="B39" s="14"/>
      <c r="C39" s="14"/>
      <c r="D39" s="14"/>
      <c r="E39" s="14"/>
      <c r="F39"/>
    </row>
    <row r="40" spans="1:6">
      <c r="A40" s="12" t="s">
        <v>274</v>
      </c>
      <c r="B40" s="14"/>
      <c r="C40" s="14"/>
      <c r="D40" s="14"/>
      <c r="E40" s="14"/>
      <c r="F40"/>
    </row>
    <row r="41" spans="1:6">
      <c r="A41" s="12" t="s">
        <v>275</v>
      </c>
      <c r="B41" s="14"/>
      <c r="C41" s="14"/>
      <c r="D41" s="14"/>
      <c r="E41" s="14"/>
      <c r="F41"/>
    </row>
    <row r="42" spans="1:6">
      <c r="A42" s="12" t="s">
        <v>276</v>
      </c>
      <c r="B42" s="14"/>
      <c r="C42" s="14"/>
      <c r="D42" s="14"/>
      <c r="E42" s="14"/>
      <c r="F42"/>
    </row>
    <row r="43" spans="1:6">
      <c r="A43" s="12" t="s">
        <v>277</v>
      </c>
      <c r="B43" s="14"/>
      <c r="C43" s="14"/>
      <c r="D43" s="14"/>
      <c r="E43" s="14"/>
      <c r="F43" s="9"/>
    </row>
    <row r="44" spans="1:6">
      <c r="A44" s="12" t="s">
        <v>278</v>
      </c>
      <c r="B44" s="14"/>
      <c r="C44" s="14"/>
      <c r="D44" s="14"/>
      <c r="E44" s="14"/>
      <c r="F44" s="9"/>
    </row>
    <row r="45" spans="1:6">
      <c r="A45" s="12" t="s">
        <v>279</v>
      </c>
      <c r="B45" s="14"/>
      <c r="C45" s="14"/>
      <c r="D45" s="14"/>
      <c r="E45" s="14"/>
      <c r="F45" s="9"/>
    </row>
    <row r="46" spans="1:6">
      <c r="A46" s="12" t="s">
        <v>280</v>
      </c>
      <c r="B46" s="14"/>
      <c r="C46" s="14"/>
      <c r="D46" s="14"/>
      <c r="E46" s="14"/>
      <c r="F46" s="9"/>
    </row>
    <row r="47" spans="1:6">
      <c r="A47" s="12" t="s">
        <v>281</v>
      </c>
      <c r="B47" s="14"/>
      <c r="C47" s="14"/>
      <c r="D47" s="14"/>
      <c r="E47" s="14"/>
      <c r="F47" s="9"/>
    </row>
    <row r="48" spans="1:6">
      <c r="A48" s="12" t="s">
        <v>282</v>
      </c>
      <c r="B48" s="14"/>
      <c r="C48" s="14"/>
      <c r="D48" s="14"/>
      <c r="E48" s="14"/>
      <c r="F48" s="9"/>
    </row>
    <row r="49" spans="1:5" s="9" customFormat="1">
      <c r="A49" s="12" t="s">
        <v>283</v>
      </c>
      <c r="B49" s="14"/>
      <c r="C49" s="14"/>
      <c r="D49" s="14"/>
      <c r="E49" s="14"/>
    </row>
    <row r="50" spans="1:5" s="9" customFormat="1">
      <c r="A50" s="12" t="s">
        <v>284</v>
      </c>
      <c r="B50" s="14"/>
      <c r="C50" s="14"/>
      <c r="D50" s="14"/>
      <c r="E50" s="14"/>
    </row>
    <row r="51" spans="1:5" s="9" customFormat="1">
      <c r="A51" s="12" t="s">
        <v>285</v>
      </c>
      <c r="B51" s="14"/>
      <c r="C51" s="14"/>
      <c r="D51" s="14"/>
      <c r="E51" s="14"/>
    </row>
    <row r="52" spans="1:5" s="9" customFormat="1">
      <c r="A52" s="12" t="s">
        <v>286</v>
      </c>
      <c r="B52" s="14"/>
      <c r="C52" s="14"/>
      <c r="D52" s="14"/>
      <c r="E52" s="14"/>
    </row>
    <row r="53" spans="1:5" s="9" customFormat="1">
      <c r="A53" s="12" t="s">
        <v>287</v>
      </c>
      <c r="B53" s="14"/>
      <c r="C53" s="14"/>
      <c r="D53" s="14"/>
      <c r="E53" s="14"/>
    </row>
    <row r="54" spans="1:5" s="9" customFormat="1">
      <c r="A54" s="12" t="s">
        <v>288</v>
      </c>
      <c r="B54" s="14"/>
      <c r="C54" s="14"/>
      <c r="D54" s="14"/>
      <c r="E54" s="14"/>
    </row>
    <row r="55" spans="1:5" s="9" customFormat="1">
      <c r="A55" s="12" t="s">
        <v>289</v>
      </c>
      <c r="B55" s="14"/>
      <c r="C55" s="14"/>
      <c r="D55" s="14"/>
      <c r="E55" s="14"/>
    </row>
    <row r="56" spans="1:5" s="9" customFormat="1">
      <c r="A56" s="12" t="s">
        <v>290</v>
      </c>
      <c r="B56" s="14"/>
      <c r="C56" s="14"/>
      <c r="D56" s="14"/>
      <c r="E56" s="14"/>
    </row>
    <row r="57" spans="1:5" s="9" customFormat="1">
      <c r="A57" s="12" t="s">
        <v>291</v>
      </c>
      <c r="B57" s="14"/>
      <c r="C57" s="14"/>
      <c r="D57" s="14"/>
      <c r="E57" s="14"/>
    </row>
    <row r="58" spans="1:5" s="9" customFormat="1">
      <c r="A58" s="12" t="s">
        <v>292</v>
      </c>
      <c r="B58" s="14"/>
      <c r="C58" s="14"/>
      <c r="D58" s="14"/>
      <c r="E58" s="14"/>
    </row>
    <row r="59" spans="1:5" s="9" customFormat="1">
      <c r="A59" s="12" t="s">
        <v>293</v>
      </c>
      <c r="B59" s="14"/>
      <c r="C59" s="14"/>
      <c r="D59" s="14"/>
      <c r="E59" s="14"/>
    </row>
    <row r="60" spans="1:5" s="9" customFormat="1">
      <c r="A60" s="12" t="s">
        <v>294</v>
      </c>
      <c r="B60" s="14"/>
      <c r="C60" s="14"/>
      <c r="D60" s="14"/>
      <c r="E60" s="14"/>
    </row>
    <row r="61" spans="1:5" s="9" customFormat="1">
      <c r="A61" s="12" t="s">
        <v>295</v>
      </c>
      <c r="B61" s="14"/>
      <c r="C61" s="14"/>
      <c r="D61" s="14"/>
      <c r="E61" s="14"/>
    </row>
    <row r="62" spans="1:5" s="9" customFormat="1">
      <c r="A62" s="12" t="s">
        <v>296</v>
      </c>
      <c r="B62" s="14"/>
      <c r="C62" s="14"/>
      <c r="D62" s="14"/>
      <c r="E62" s="14"/>
    </row>
    <row r="63" spans="1:5" s="9" customFormat="1">
      <c r="A63" s="12" t="s">
        <v>297</v>
      </c>
      <c r="B63" s="14"/>
      <c r="C63" s="14"/>
      <c r="D63" s="14"/>
      <c r="E63" s="14"/>
    </row>
    <row r="64" spans="1:5" s="9" customFormat="1">
      <c r="A64" s="12" t="s">
        <v>298</v>
      </c>
      <c r="B64" s="14"/>
      <c r="C64" s="14"/>
      <c r="D64" s="14"/>
      <c r="E64" s="14"/>
    </row>
    <row r="65" spans="1:5" s="9" customFormat="1">
      <c r="A65" s="12" t="s">
        <v>299</v>
      </c>
      <c r="B65" s="14"/>
      <c r="C65" s="14"/>
      <c r="D65" s="14"/>
      <c r="E65" s="14"/>
    </row>
    <row r="66" spans="1:5" s="9" customFormat="1">
      <c r="A66" s="12" t="s">
        <v>237</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46" zoomScale="73" workbookViewId="0">
      <selection activeCell="C74" sqref="C74"/>
    </sheetView>
  </sheetViews>
  <sheetFormatPr defaultRowHeight="14.4"/>
  <cols>
    <col min="1" max="1" width="26.44140625" customWidth="1"/>
    <col min="2" max="2" width="48.6640625" customWidth="1"/>
  </cols>
  <sheetData>
    <row r="1" spans="1:2">
      <c r="A1" s="2" t="s">
        <v>300</v>
      </c>
      <c r="B1" s="1" t="s">
        <v>301</v>
      </c>
    </row>
    <row r="2" spans="1:2">
      <c r="A2" s="3" t="s">
        <v>302</v>
      </c>
      <c r="B2" s="1" t="s">
        <v>303</v>
      </c>
    </row>
    <row r="3" spans="1:2">
      <c r="A3" s="3" t="s">
        <v>304</v>
      </c>
      <c r="B3" s="4" t="s">
        <v>305</v>
      </c>
    </row>
    <row r="4" spans="1:2">
      <c r="A4" s="3" t="s">
        <v>306</v>
      </c>
      <c r="B4" s="1" t="s">
        <v>307</v>
      </c>
    </row>
    <row r="5" spans="1:2">
      <c r="A5" s="3" t="s">
        <v>308</v>
      </c>
      <c r="B5" s="4" t="s">
        <v>309</v>
      </c>
    </row>
    <row r="6" spans="1:2">
      <c r="A6" s="3" t="s">
        <v>310</v>
      </c>
      <c r="B6" s="1" t="s">
        <v>311</v>
      </c>
    </row>
    <row r="7" spans="1:2">
      <c r="A7" s="3" t="s">
        <v>312</v>
      </c>
      <c r="B7" s="4" t="s">
        <v>313</v>
      </c>
    </row>
    <row r="8" spans="1:2">
      <c r="A8" s="3" t="s">
        <v>314</v>
      </c>
      <c r="B8" s="4" t="s">
        <v>315</v>
      </c>
    </row>
    <row r="9" spans="1:2">
      <c r="A9" s="3" t="s">
        <v>316</v>
      </c>
      <c r="B9" s="4" t="s">
        <v>317</v>
      </c>
    </row>
    <row r="10" spans="1:2">
      <c r="A10" s="3" t="s">
        <v>318</v>
      </c>
      <c r="B10" s="1" t="s">
        <v>307</v>
      </c>
    </row>
    <row r="11" spans="1:2">
      <c r="A11" s="3" t="s">
        <v>319</v>
      </c>
      <c r="B11" s="4" t="s">
        <v>309</v>
      </c>
    </row>
    <row r="12" spans="1:2">
      <c r="A12" s="3" t="s">
        <v>320</v>
      </c>
      <c r="B12" s="1" t="s">
        <v>321</v>
      </c>
    </row>
    <row r="13" spans="1:2">
      <c r="A13" s="3" t="s">
        <v>322</v>
      </c>
      <c r="B13" s="4" t="s">
        <v>313</v>
      </c>
    </row>
    <row r="14" spans="1:2">
      <c r="A14" s="3" t="s">
        <v>323</v>
      </c>
      <c r="B14" s="1" t="s">
        <v>311</v>
      </c>
    </row>
    <row r="15" spans="1:2">
      <c r="A15" s="3" t="s">
        <v>324</v>
      </c>
      <c r="B15" s="4" t="s">
        <v>313</v>
      </c>
    </row>
    <row r="16" spans="1:2">
      <c r="A16" s="3" t="s">
        <v>325</v>
      </c>
      <c r="B16" s="4" t="s">
        <v>313</v>
      </c>
    </row>
    <row r="17" spans="1:2">
      <c r="A17" s="3" t="s">
        <v>326</v>
      </c>
      <c r="B17" s="1" t="s">
        <v>327</v>
      </c>
    </row>
    <row r="18" spans="1:2">
      <c r="A18" s="5" t="s">
        <v>328</v>
      </c>
      <c r="B18" s="4" t="s">
        <v>313</v>
      </c>
    </row>
    <row r="19" spans="1:2">
      <c r="A19" s="3" t="e" vm="1">
        <v>#VALUE!</v>
      </c>
      <c r="B19" s="1" t="s">
        <v>329</v>
      </c>
    </row>
    <row r="20" spans="1:2">
      <c r="A20" s="3" t="e" vm="2">
        <v>#VALUE!</v>
      </c>
      <c r="B20" s="1" t="s">
        <v>330</v>
      </c>
    </row>
    <row r="21" spans="1:2">
      <c r="A21" s="3" t="e" vm="3">
        <v>#VALUE!</v>
      </c>
      <c r="B21" s="1" t="s">
        <v>331</v>
      </c>
    </row>
    <row r="22" spans="1:2">
      <c r="A22" s="3" t="e" vm="4">
        <v>#VALUE!</v>
      </c>
      <c r="B22" s="1" t="s">
        <v>332</v>
      </c>
    </row>
    <row r="23" spans="1:2">
      <c r="A23" s="2" t="e" vm="5">
        <v>#VALUE!</v>
      </c>
      <c r="B23" s="4" t="s">
        <v>333</v>
      </c>
    </row>
    <row r="24" spans="1:2">
      <c r="A24" s="6" t="e" vm="6">
        <v>#VALUE!</v>
      </c>
      <c r="B24" s="4" t="s">
        <v>317</v>
      </c>
    </row>
    <row r="25" spans="1:2">
      <c r="A25" s="3" t="e" vm="7">
        <v>#VALUE!</v>
      </c>
      <c r="B25" s="1" t="s">
        <v>305</v>
      </c>
    </row>
    <row r="26" spans="1:2">
      <c r="A26" s="3" t="e" vm="8">
        <v>#VALUE!</v>
      </c>
      <c r="B26" s="1" t="s">
        <v>334</v>
      </c>
    </row>
    <row r="27" spans="1:2">
      <c r="A27" s="3" t="e" vm="9">
        <v>#VALUE!</v>
      </c>
      <c r="B27" s="1" t="s">
        <v>305</v>
      </c>
    </row>
    <row r="28" spans="1:2">
      <c r="A28" s="3" t="e" vm="10">
        <v>#VALUE!</v>
      </c>
      <c r="B28" s="1" t="s">
        <v>332</v>
      </c>
    </row>
    <row r="29" spans="1:2">
      <c r="A29" s="6" t="e" vm="11">
        <v>#VALUE!</v>
      </c>
      <c r="B29" s="4" t="s">
        <v>335</v>
      </c>
    </row>
    <row r="30" spans="1:2">
      <c r="A30" s="3" t="e" vm="12">
        <v>#VALUE!</v>
      </c>
      <c r="B30" s="4" t="s">
        <v>336</v>
      </c>
    </row>
    <row r="31" spans="1:2">
      <c r="A31" s="3" t="e" vm="13">
        <v>#VALUE!</v>
      </c>
      <c r="B31" s="1" t="s">
        <v>307</v>
      </c>
    </row>
    <row r="32" spans="1:2">
      <c r="A32" s="3" t="e" vm="14">
        <v>#VALUE!</v>
      </c>
      <c r="B32" s="4" t="s">
        <v>337</v>
      </c>
    </row>
    <row r="33" spans="1:2">
      <c r="A33" s="3" t="e" vm="15">
        <v>#VALUE!</v>
      </c>
      <c r="B33" s="4" t="s">
        <v>317</v>
      </c>
    </row>
    <row r="34" spans="1:2">
      <c r="A34" s="7" t="e" vm="16">
        <v>#VALUE!</v>
      </c>
      <c r="B34" s="1" t="s">
        <v>331</v>
      </c>
    </row>
    <row r="35" spans="1:2">
      <c r="A35" s="3" t="e" vm="17">
        <v>#VALUE!</v>
      </c>
      <c r="B35" s="4" t="s">
        <v>317</v>
      </c>
    </row>
    <row r="36" spans="1:2">
      <c r="A36" s="2" t="e" vm="18">
        <v>#VALUE!</v>
      </c>
      <c r="B36" s="1" t="s">
        <v>334</v>
      </c>
    </row>
    <row r="37" spans="1:2">
      <c r="A37" s="3" t="e" vm="19">
        <v>#VALUE!</v>
      </c>
      <c r="B37" s="4" t="s">
        <v>309</v>
      </c>
    </row>
    <row r="38" spans="1:2">
      <c r="A38" s="3" t="e" vm="20">
        <v>#VALUE!</v>
      </c>
      <c r="B38" s="4" t="s">
        <v>337</v>
      </c>
    </row>
    <row r="39" spans="1:2">
      <c r="A39" s="3" t="e" vm="21">
        <v>#VALUE!</v>
      </c>
      <c r="B39" s="1" t="s">
        <v>332</v>
      </c>
    </row>
    <row r="40" spans="1:2">
      <c r="A40" s="3" t="e" vm="22">
        <v>#VALUE!</v>
      </c>
      <c r="B40" s="4" t="s">
        <v>338</v>
      </c>
    </row>
    <row r="41" spans="1:2">
      <c r="A41" s="3" t="e" vm="23">
        <v>#VALUE!</v>
      </c>
      <c r="B41" s="1" t="s">
        <v>329</v>
      </c>
    </row>
    <row r="42" spans="1:2">
      <c r="A42" s="3" t="e" vm="24">
        <v>#VALUE!</v>
      </c>
      <c r="B42" s="1" t="s">
        <v>339</v>
      </c>
    </row>
    <row r="43" spans="1:2">
      <c r="A43" s="2" t="e" vm="25">
        <v>#VALUE!</v>
      </c>
      <c r="B43" s="1" t="s">
        <v>329</v>
      </c>
    </row>
    <row r="44" spans="1:2">
      <c r="A44" s="3" t="e" vm="26">
        <v>#VALUE!</v>
      </c>
      <c r="B44" s="1" t="s">
        <v>327</v>
      </c>
    </row>
    <row r="45" spans="1:2">
      <c r="A45" s="3" t="e" vm="27">
        <v>#VALUE!</v>
      </c>
      <c r="B45" s="1" t="s">
        <v>307</v>
      </c>
    </row>
    <row r="46" spans="1:2">
      <c r="A46" s="3" t="e" vm="28">
        <v>#VALUE!</v>
      </c>
      <c r="B46" s="1" t="s">
        <v>340</v>
      </c>
    </row>
    <row r="47" spans="1:2">
      <c r="A47" s="3" t="e" vm="29">
        <v>#VALUE!</v>
      </c>
      <c r="B47" s="1" t="s">
        <v>327</v>
      </c>
    </row>
    <row r="48" spans="1:2">
      <c r="A48" s="3" t="e" vm="30">
        <v>#VALUE!</v>
      </c>
      <c r="B48" s="1" t="s">
        <v>327</v>
      </c>
    </row>
    <row r="49" spans="1:2">
      <c r="A49" s="8" t="e" vm="31">
        <v>#VALUE!</v>
      </c>
      <c r="B49" s="1" t="s">
        <v>307</v>
      </c>
    </row>
    <row r="50" spans="1:2">
      <c r="A50" s="3" t="e" vm="32">
        <v>#VALUE!</v>
      </c>
      <c r="B50" s="1" t="s">
        <v>305</v>
      </c>
    </row>
    <row r="51" spans="1:2">
      <c r="A51" s="2" t="e" vm="33">
        <v>#VALUE!</v>
      </c>
      <c r="B51" s="4" t="s">
        <v>315</v>
      </c>
    </row>
    <row r="52" spans="1:2">
      <c r="A52" s="3" t="e" vm="34">
        <v>#VALUE!</v>
      </c>
      <c r="B52" s="4" t="s">
        <v>341</v>
      </c>
    </row>
    <row r="53" spans="1:2">
      <c r="A53" s="3" t="e" vm="35">
        <v>#VALUE!</v>
      </c>
      <c r="B53" s="4" t="s">
        <v>342</v>
      </c>
    </row>
    <row r="54" spans="1:2">
      <c r="A54" s="3" t="e" vm="36">
        <v>#VALUE!</v>
      </c>
      <c r="B54" s="4" t="s">
        <v>313</v>
      </c>
    </row>
    <row r="55" spans="1:2">
      <c r="A55" s="3" t="e" vm="37">
        <v>#VALUE!</v>
      </c>
      <c r="B55" s="1" t="s">
        <v>331</v>
      </c>
    </row>
    <row r="56" spans="1:2">
      <c r="A56" s="3" t="e" vm="38">
        <v>#VALUE!</v>
      </c>
      <c r="B56" s="1" t="s">
        <v>339</v>
      </c>
    </row>
    <row r="57" spans="1:2">
      <c r="A57" s="3" t="e" vm="39">
        <v>#VALUE!</v>
      </c>
      <c r="B57" s="4" t="s">
        <v>343</v>
      </c>
    </row>
    <row r="58" spans="1:2">
      <c r="A58" s="3" t="e" vm="40">
        <v>#VALUE!</v>
      </c>
      <c r="B58" s="1" t="s">
        <v>327</v>
      </c>
    </row>
    <row r="59" spans="1:2">
      <c r="A59" s="3" t="e" vm="41">
        <v>#VALUE!</v>
      </c>
      <c r="B59" s="1" t="s">
        <v>307</v>
      </c>
    </row>
    <row r="60" spans="1:2">
      <c r="A60" s="7" t="e" vm="42">
        <v>#VALUE!</v>
      </c>
      <c r="B60" s="1" t="s">
        <v>307</v>
      </c>
    </row>
    <row r="61" spans="1:2">
      <c r="A61" s="3" t="e" vm="43">
        <v>#VALUE!</v>
      </c>
      <c r="B61" s="1" t="s">
        <v>303</v>
      </c>
    </row>
    <row r="62" spans="1:2">
      <c r="A62" s="3" t="e" vm="44">
        <v>#VALUE!</v>
      </c>
      <c r="B62" s="4" t="s">
        <v>344</v>
      </c>
    </row>
    <row r="63" spans="1:2">
      <c r="A63" s="3" t="e" vm="45">
        <v>#VALUE!</v>
      </c>
      <c r="B63" s="1" t="s">
        <v>327</v>
      </c>
    </row>
    <row r="64" spans="1:2">
      <c r="A64" s="3" t="e" vm="46">
        <v>#VALUE!</v>
      </c>
      <c r="B64" s="4" t="s">
        <v>345</v>
      </c>
    </row>
    <row r="65" spans="1:3">
      <c r="A65" s="3" t="e" vm="47">
        <v>#VALUE!</v>
      </c>
      <c r="B65" s="1" t="s">
        <v>334</v>
      </c>
    </row>
    <row r="66" spans="1:3">
      <c r="A66" s="3" t="e" vm="48">
        <v>#VALUE!</v>
      </c>
      <c r="B66" s="1" t="s">
        <v>332</v>
      </c>
    </row>
    <row r="67" spans="1:3">
      <c r="A67" s="5" t="e" vm="49">
        <v>#VALUE!</v>
      </c>
      <c r="B67" s="4" t="s">
        <v>346</v>
      </c>
    </row>
    <row r="68" spans="1:3">
      <c r="A68" s="3" t="e" vm="50">
        <v>#VALUE!</v>
      </c>
      <c r="B68" s="4" t="s">
        <v>347</v>
      </c>
    </row>
    <row r="72" spans="1:3">
      <c r="C72" t="s">
        <v>45</v>
      </c>
    </row>
    <row r="73" spans="1:3">
      <c r="C73" t="s">
        <v>348</v>
      </c>
    </row>
    <row r="74" spans="1:3">
      <c r="C74" t="s">
        <v>349</v>
      </c>
    </row>
    <row r="76" spans="1:3">
      <c r="C76" t="s">
        <v>350</v>
      </c>
    </row>
    <row r="77" spans="1:3">
      <c r="C77" t="s">
        <v>351</v>
      </c>
    </row>
    <row r="79" spans="1:3">
      <c r="C79" t="s">
        <v>352</v>
      </c>
    </row>
    <row r="80" spans="1:3">
      <c r="C80" t="s">
        <v>353</v>
      </c>
    </row>
  </sheetData>
  <autoFilter ref="A1:C68" xr:uid="{00000000-0001-0000-0600-000000000000}">
    <sortState xmlns:xlrd2="http://schemas.microsoft.com/office/spreadsheetml/2017/richdata2" ref="A2:C68">
      <sortCondition ref="A1:A68"/>
    </sortState>
  </autoFilter>
  <sortState xmlns:xlrd2="http://schemas.microsoft.com/office/spreadsheetml/2017/richdata2" ref="A3:B65">
    <sortCondition ref="A6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topLeftCell="A13" workbookViewId="0">
      <selection activeCell="A22" sqref="A22"/>
    </sheetView>
  </sheetViews>
  <sheetFormatPr defaultRowHeight="14.4"/>
  <cols>
    <col min="1" max="1" width="26.44140625" customWidth="1"/>
    <col min="2" max="2" width="48.6640625" customWidth="1"/>
  </cols>
  <sheetData>
    <row r="1" spans="1:2">
      <c r="A1" s="2" t="s">
        <v>300</v>
      </c>
      <c r="B1" s="1" t="s">
        <v>301</v>
      </c>
    </row>
    <row r="2" spans="1:2">
      <c r="A2" s="3" t="e" vm="1">
        <v>#VALUE!</v>
      </c>
      <c r="B2" s="1" t="s">
        <v>329</v>
      </c>
    </row>
    <row r="3" spans="1:2">
      <c r="A3" s="3" t="e" vm="2">
        <v>#VALUE!</v>
      </c>
      <c r="B3" s="1" t="s">
        <v>330</v>
      </c>
    </row>
    <row r="4" spans="1:2">
      <c r="A4" s="3" t="e" vm="3">
        <v>#VALUE!</v>
      </c>
      <c r="B4" s="1" t="s">
        <v>331</v>
      </c>
    </row>
    <row r="5" spans="1:2">
      <c r="A5" s="3" t="e" vm="4">
        <v>#VALUE!</v>
      </c>
      <c r="B5" s="1" t="s">
        <v>332</v>
      </c>
    </row>
    <row r="6" spans="1:2">
      <c r="A6" s="3" t="s">
        <v>302</v>
      </c>
      <c r="B6" s="1" t="s">
        <v>303</v>
      </c>
    </row>
    <row r="7" spans="1:2">
      <c r="A7" s="3" t="s">
        <v>314</v>
      </c>
      <c r="B7" s="4" t="s">
        <v>315</v>
      </c>
    </row>
    <row r="8" spans="1:2">
      <c r="A8" s="2" t="e" vm="5">
        <v>#VALUE!</v>
      </c>
      <c r="B8" s="4" t="s">
        <v>333</v>
      </c>
    </row>
    <row r="9" spans="1:2">
      <c r="A9" s="6" t="e" vm="6">
        <v>#VALUE!</v>
      </c>
      <c r="B9" s="4" t="s">
        <v>317</v>
      </c>
    </row>
    <row r="10" spans="1:2">
      <c r="A10" s="3" t="s">
        <v>304</v>
      </c>
      <c r="B10" s="4" t="s">
        <v>305</v>
      </c>
    </row>
    <row r="11" spans="1:2">
      <c r="A11" s="3" t="e" vm="7">
        <v>#VALUE!</v>
      </c>
      <c r="B11" s="1" t="s">
        <v>305</v>
      </c>
    </row>
    <row r="12" spans="1:2">
      <c r="A12" s="3" t="e" vm="8">
        <v>#VALUE!</v>
      </c>
      <c r="B12" s="1" t="s">
        <v>334</v>
      </c>
    </row>
    <row r="13" spans="1:2">
      <c r="A13" s="3" t="e" vm="9">
        <v>#VALUE!</v>
      </c>
      <c r="B13" s="1" t="s">
        <v>305</v>
      </c>
    </row>
    <row r="14" spans="1:2">
      <c r="A14" s="3" t="e" vm="10">
        <v>#VALUE!</v>
      </c>
      <c r="B14" s="1" t="s">
        <v>332</v>
      </c>
    </row>
    <row r="15" spans="1:2">
      <c r="A15" s="6" t="e" vm="11">
        <v>#VALUE!</v>
      </c>
      <c r="B15" s="4" t="s">
        <v>335</v>
      </c>
    </row>
    <row r="16" spans="1:2">
      <c r="A16" s="3" t="s">
        <v>306</v>
      </c>
      <c r="B16" s="1" t="s">
        <v>307</v>
      </c>
    </row>
    <row r="17" spans="1:2">
      <c r="A17" s="3" t="s">
        <v>308</v>
      </c>
      <c r="B17" s="4" t="s">
        <v>309</v>
      </c>
    </row>
    <row r="18" spans="1:2">
      <c r="A18" s="3" t="e" vm="12">
        <v>#VALUE!</v>
      </c>
      <c r="B18" s="4" t="s">
        <v>336</v>
      </c>
    </row>
    <row r="19" spans="1:2">
      <c r="A19" s="3" t="s">
        <v>310</v>
      </c>
      <c r="B19" s="1" t="s">
        <v>311</v>
      </c>
    </row>
    <row r="20" spans="1:2">
      <c r="A20" s="3" t="e" vm="13">
        <v>#VALUE!</v>
      </c>
      <c r="B20" s="1" t="s">
        <v>307</v>
      </c>
    </row>
    <row r="21" spans="1:2">
      <c r="A21" s="3" t="e" vm="36">
        <v>#VALUE!</v>
      </c>
      <c r="B21" s="4" t="s">
        <v>313</v>
      </c>
    </row>
    <row r="22" spans="1:2">
      <c r="A22" s="3" t="s">
        <v>319</v>
      </c>
      <c r="B22" s="4" t="s">
        <v>309</v>
      </c>
    </row>
    <row r="23" spans="1:2">
      <c r="A23" s="3" t="e" vm="14">
        <v>#VALUE!</v>
      </c>
      <c r="B23" s="4" t="s">
        <v>337</v>
      </c>
    </row>
    <row r="24" spans="1:2">
      <c r="A24" s="3" t="s">
        <v>312</v>
      </c>
      <c r="B24" s="4" t="s">
        <v>313</v>
      </c>
    </row>
    <row r="25" spans="1:2">
      <c r="A25" s="3" t="e" vm="15">
        <v>#VALUE!</v>
      </c>
      <c r="B25" s="4" t="s">
        <v>317</v>
      </c>
    </row>
    <row r="26" spans="1:2">
      <c r="A26" s="7" t="e" vm="16">
        <v>#VALUE!</v>
      </c>
      <c r="B26" s="1" t="s">
        <v>331</v>
      </c>
    </row>
    <row r="27" spans="1:2">
      <c r="A27" s="3" t="e" vm="17">
        <v>#VALUE!</v>
      </c>
      <c r="B27" s="4" t="s">
        <v>317</v>
      </c>
    </row>
    <row r="28" spans="1:2">
      <c r="A28" s="2" t="e" vm="18">
        <v>#VALUE!</v>
      </c>
      <c r="B28" s="1" t="s">
        <v>334</v>
      </c>
    </row>
    <row r="29" spans="1:2">
      <c r="A29" s="3" t="e" vm="19">
        <v>#VALUE!</v>
      </c>
      <c r="B29" s="4" t="s">
        <v>309</v>
      </c>
    </row>
    <row r="30" spans="1:2">
      <c r="A30" s="3" t="e" vm="20">
        <v>#VALUE!</v>
      </c>
      <c r="B30" s="4" t="s">
        <v>337</v>
      </c>
    </row>
    <row r="31" spans="1:2">
      <c r="A31" s="3" t="e" vm="21">
        <v>#VALUE!</v>
      </c>
      <c r="B31" s="1" t="s">
        <v>332</v>
      </c>
    </row>
    <row r="32" spans="1:2">
      <c r="A32" s="3" t="e" vm="22">
        <v>#VALUE!</v>
      </c>
      <c r="B32" s="4" t="s">
        <v>338</v>
      </c>
    </row>
    <row r="33" spans="1:2">
      <c r="A33" s="3" t="e" vm="23">
        <v>#VALUE!</v>
      </c>
      <c r="B33" s="1" t="s">
        <v>329</v>
      </c>
    </row>
    <row r="34" spans="1:2">
      <c r="A34" s="3" t="e" vm="24">
        <v>#VALUE!</v>
      </c>
      <c r="B34" s="1" t="s">
        <v>339</v>
      </c>
    </row>
    <row r="35" spans="1:2">
      <c r="A35" s="3" t="s">
        <v>316</v>
      </c>
      <c r="B35" s="4" t="s">
        <v>317</v>
      </c>
    </row>
    <row r="36" spans="1:2">
      <c r="A36" s="3" t="s">
        <v>318</v>
      </c>
      <c r="B36" s="1" t="s">
        <v>307</v>
      </c>
    </row>
    <row r="37" spans="1:2">
      <c r="A37" s="2" t="e" vm="25">
        <v>#VALUE!</v>
      </c>
      <c r="B37" s="1" t="s">
        <v>329</v>
      </c>
    </row>
    <row r="38" spans="1:2">
      <c r="A38" s="3" t="e" vm="26">
        <v>#VALUE!</v>
      </c>
      <c r="B38" s="1" t="s">
        <v>327</v>
      </c>
    </row>
    <row r="39" spans="1:2">
      <c r="A39" s="3" t="e" vm="27">
        <v>#VALUE!</v>
      </c>
      <c r="B39" s="1" t="s">
        <v>307</v>
      </c>
    </row>
    <row r="40" spans="1:2">
      <c r="A40" s="3" t="e" vm="28">
        <v>#VALUE!</v>
      </c>
      <c r="B40" s="1" t="s">
        <v>340</v>
      </c>
    </row>
    <row r="41" spans="1:2">
      <c r="A41" s="3" t="s">
        <v>320</v>
      </c>
      <c r="B41" s="1" t="s">
        <v>321</v>
      </c>
    </row>
    <row r="42" spans="1:2">
      <c r="A42" s="3" t="e" vm="29">
        <v>#VALUE!</v>
      </c>
      <c r="B42" s="1" t="s">
        <v>327</v>
      </c>
    </row>
    <row r="43" spans="1:2">
      <c r="A43" s="3" t="s">
        <v>322</v>
      </c>
      <c r="B43" s="4" t="s">
        <v>313</v>
      </c>
    </row>
    <row r="44" spans="1:2">
      <c r="A44" s="3" t="s">
        <v>323</v>
      </c>
      <c r="B44" s="1" t="s">
        <v>311</v>
      </c>
    </row>
    <row r="45" spans="1:2">
      <c r="A45" s="3" t="s">
        <v>324</v>
      </c>
      <c r="B45" s="4" t="s">
        <v>313</v>
      </c>
    </row>
    <row r="46" spans="1:2">
      <c r="A46" s="3" t="e" vm="30">
        <v>#VALUE!</v>
      </c>
      <c r="B46" s="1" t="s">
        <v>327</v>
      </c>
    </row>
    <row r="47" spans="1:2">
      <c r="A47" s="8" t="e" vm="31">
        <v>#VALUE!</v>
      </c>
      <c r="B47" s="1" t="s">
        <v>307</v>
      </c>
    </row>
    <row r="48" spans="1:2">
      <c r="A48" s="3" t="e" vm="32">
        <v>#VALUE!</v>
      </c>
      <c r="B48" s="1" t="s">
        <v>305</v>
      </c>
    </row>
    <row r="49" spans="1:2">
      <c r="A49" s="2" t="e" vm="33">
        <v>#VALUE!</v>
      </c>
      <c r="B49" s="4" t="s">
        <v>315</v>
      </c>
    </row>
    <row r="50" spans="1:2">
      <c r="A50" s="3" t="e" vm="34">
        <v>#VALUE!</v>
      </c>
      <c r="B50" s="4" t="s">
        <v>341</v>
      </c>
    </row>
    <row r="51" spans="1:2">
      <c r="A51" s="3" t="e" vm="35">
        <v>#VALUE!</v>
      </c>
      <c r="B51" s="4" t="s">
        <v>342</v>
      </c>
    </row>
    <row r="52" spans="1:2">
      <c r="A52" s="3" t="s">
        <v>325</v>
      </c>
      <c r="B52" s="4" t="s">
        <v>313</v>
      </c>
    </row>
    <row r="53" spans="1:2">
      <c r="A53" s="3" t="e" vm="37">
        <v>#VALUE!</v>
      </c>
      <c r="B53" s="1" t="s">
        <v>331</v>
      </c>
    </row>
    <row r="54" spans="1:2">
      <c r="A54" s="3" t="e" vm="38">
        <v>#VALUE!</v>
      </c>
      <c r="B54" s="1" t="s">
        <v>339</v>
      </c>
    </row>
    <row r="55" spans="1:2">
      <c r="A55" s="3" t="e" vm="39">
        <v>#VALUE!</v>
      </c>
      <c r="B55" s="4" t="s">
        <v>343</v>
      </c>
    </row>
    <row r="56" spans="1:2">
      <c r="A56" s="3" t="e" vm="40">
        <v>#VALUE!</v>
      </c>
      <c r="B56" s="1" t="s">
        <v>327</v>
      </c>
    </row>
    <row r="57" spans="1:2">
      <c r="A57" s="3" t="s">
        <v>326</v>
      </c>
      <c r="B57" s="1" t="s">
        <v>327</v>
      </c>
    </row>
    <row r="58" spans="1:2">
      <c r="A58" s="5" t="s">
        <v>328</v>
      </c>
      <c r="B58" s="4" t="s">
        <v>313</v>
      </c>
    </row>
    <row r="59" spans="1:2">
      <c r="A59" s="3" t="e" vm="41">
        <v>#VALUE!</v>
      </c>
      <c r="B59" s="1" t="s">
        <v>307</v>
      </c>
    </row>
    <row r="60" spans="1:2">
      <c r="A60" s="7" t="e" vm="42">
        <v>#VALUE!</v>
      </c>
      <c r="B60" s="1" t="s">
        <v>307</v>
      </c>
    </row>
    <row r="61" spans="1:2">
      <c r="A61" s="3" t="e" vm="43">
        <v>#VALUE!</v>
      </c>
      <c r="B61" s="1" t="s">
        <v>303</v>
      </c>
    </row>
    <row r="62" spans="1:2">
      <c r="A62" s="3" t="e" vm="44">
        <v>#VALUE!</v>
      </c>
      <c r="B62" s="4" t="s">
        <v>344</v>
      </c>
    </row>
    <row r="63" spans="1:2">
      <c r="A63" s="3" t="e" vm="45">
        <v>#VALUE!</v>
      </c>
      <c r="B63" s="1" t="s">
        <v>327</v>
      </c>
    </row>
    <row r="64" spans="1:2">
      <c r="A64" s="3" t="e" vm="46">
        <v>#VALUE!</v>
      </c>
      <c r="B64" s="4" t="s">
        <v>345</v>
      </c>
    </row>
    <row r="65" spans="1:2">
      <c r="A65" s="3" t="e" vm="47">
        <v>#VALUE!</v>
      </c>
      <c r="B65" s="1" t="s">
        <v>334</v>
      </c>
    </row>
    <row r="66" spans="1:2">
      <c r="A66" s="3" t="e" vm="48">
        <v>#VALUE!</v>
      </c>
      <c r="B66" s="1" t="s">
        <v>332</v>
      </c>
    </row>
    <row r="67" spans="1:2">
      <c r="A67" s="5" t="e" vm="49">
        <v>#VALUE!</v>
      </c>
      <c r="B67" s="4" t="s">
        <v>346</v>
      </c>
    </row>
    <row r="68" spans="1:2">
      <c r="A68" s="3" t="e" vm="50">
        <v>#VALUE!</v>
      </c>
      <c r="B68" s="4" t="s">
        <v>347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59399c-50fe-47d6-b912-48b8e324819f" xsi:nil="true"/>
    <lcf76f155ced4ddcb4097134ff3c332f xmlns="4ecb1b59-1958-4a6a-a342-e945358ae8f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D21E7FD2138B4EB9256F640A02D611" ma:contentTypeVersion="12" ma:contentTypeDescription="Create a new document." ma:contentTypeScope="" ma:versionID="47bce81f2c5e0689aba467f0689d988c">
  <xsd:schema xmlns:xsd="http://www.w3.org/2001/XMLSchema" xmlns:xs="http://www.w3.org/2001/XMLSchema" xmlns:p="http://schemas.microsoft.com/office/2006/metadata/properties" xmlns:ns2="4ecb1b59-1958-4a6a-a342-e945358ae8f2" xmlns:ns3="6f59399c-50fe-47d6-b912-48b8e324819f" targetNamespace="http://schemas.microsoft.com/office/2006/metadata/properties" ma:root="true" ma:fieldsID="1a589d3a9aabf01c2472b29de089a35d" ns2:_="" ns3:_="">
    <xsd:import namespace="4ecb1b59-1958-4a6a-a342-e945358ae8f2"/>
    <xsd:import namespace="6f59399c-50fe-47d6-b912-48b8e32481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cb1b59-1958-4a6a-a342-e945358ae8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8b0866-0671-4fe1-8664-2e5d80f3ed5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9399c-50fe-47d6-b912-48b8e324819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c0920e9-b0ae-48fc-a2bc-762157f0d257}" ma:internalName="TaxCatchAll" ma:showField="CatchAllData" ma:web="6f59399c-50fe-47d6-b912-48b8e32481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2376CD-6060-4240-8813-EA7825B43B6A}">
  <ds:schemaRefs>
    <ds:schemaRef ds:uri="http://schemas.microsoft.com/office/2006/metadata/properties"/>
    <ds:schemaRef ds:uri="http://schemas.microsoft.com/office/infopath/2007/PartnerControls"/>
    <ds:schemaRef ds:uri="6f59399c-50fe-47d6-b912-48b8e324819f"/>
    <ds:schemaRef ds:uri="4ecb1b59-1958-4a6a-a342-e945358ae8f2"/>
  </ds:schemaRefs>
</ds:datastoreItem>
</file>

<file path=customXml/itemProps2.xml><?xml version="1.0" encoding="utf-8"?>
<ds:datastoreItem xmlns:ds="http://schemas.openxmlformats.org/officeDocument/2006/customXml" ds:itemID="{EDD3448A-A73E-4C8F-9846-84A961DC5274}">
  <ds:schemaRefs>
    <ds:schemaRef ds:uri="http://schemas.microsoft.com/sharepoint/v3/contenttype/forms"/>
  </ds:schemaRefs>
</ds:datastoreItem>
</file>

<file path=customXml/itemProps3.xml><?xml version="1.0" encoding="utf-8"?>
<ds:datastoreItem xmlns:ds="http://schemas.openxmlformats.org/officeDocument/2006/customXml" ds:itemID="{B32B8752-09F8-44FB-B962-BD4C9F6ED7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cb1b59-1958-4a6a-a342-e945358ae8f2"/>
    <ds:schemaRef ds:uri="6f59399c-50fe-47d6-b912-48b8e32481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Main Form</vt:lpstr>
      <vt:lpstr>Summary</vt:lpstr>
      <vt:lpstr>How To Check</vt:lpstr>
      <vt:lpstr>Pivot</vt:lpstr>
      <vt:lpstr>Data sheet</vt:lpstr>
      <vt:lpstr>Sheet1</vt:lpstr>
      <vt:lpstr>'How To Check'!Print_Area</vt:lpstr>
      <vt:lpstr>'Main 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GATEWAY JR</cp:lastModifiedBy>
  <cp:revision/>
  <dcterms:created xsi:type="dcterms:W3CDTF">2022-04-29T04:55:36Z</dcterms:created>
  <dcterms:modified xsi:type="dcterms:W3CDTF">2026-09-08T06:36:43Z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0x0101007DD21E7FD2138B4EB9256F640A02D611</vt:lpwstr>
  </property>
</Properties>
</file>