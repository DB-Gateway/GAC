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Styles.xml" ContentType="application/vnd.ms-excel.richstyles+xml"/>
  <Override PartName="/xl/richData/rdRichValueTypes.xml" ContentType="application/vnd.ms-excel.rdrichvaluetypes+xml"/>
  <Override PartName="/xl/richData/rdRichValueWebImage.xml" ContentType="application/vnd.ms-excel.rdrichvaluewebimage+xml"/>
  <Override PartName="/xl/richData/rdsupportingpropertybag.xml" ContentType="application/vnd.ms-excel.rdsupportingpropertybag+xml"/>
  <Override PartName="/xl/richData/rdrichvalue.xml" ContentType="application/vnd.ms-excel.rdrichvalue+xml"/>
  <Override PartName="/xl/richData/rdrichvaluestructure.xml" ContentType="application/vnd.ms-excel.rdrichvaluestructure+xml"/>
  <Override PartName="/xl/richData/rdsupportingpropertybagstructure.xml" ContentType="application/vnd.ms-excel.rdsupportingpropertybagstructure+xml"/>
  <Override PartName="/xl/richData/rdarray.xml" ContentType="application/vnd.ms-excel.rdarray+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xampp\htdocs\JR-files\GAC-systems\"/>
    </mc:Choice>
  </mc:AlternateContent>
  <xr:revisionPtr revIDLastSave="0" documentId="13_ncr:1_{6EC75465-08AE-4ECF-858F-7C924F88D8DE}" xr6:coauthVersionLast="47" xr6:coauthVersionMax="47" xr10:uidLastSave="{00000000-0000-0000-0000-000000000000}"/>
  <bookViews>
    <workbookView xWindow="-20610" yWindow="-120" windowWidth="20730" windowHeight="11040" tabRatio="836" firstSheet="1" activeTab="1" xr2:uid="{00000000-000D-0000-FFFF-FFFF00000000}"/>
  </bookViews>
  <sheets>
    <sheet name="Summary" sheetId="13" r:id="rId1"/>
    <sheet name="Main Form" sheetId="14" r:id="rId2"/>
    <sheet name="Subform" sheetId="3" r:id="rId3"/>
    <sheet name="Documentation" sheetId="12" r:id="rId4"/>
    <sheet name="How To Check" sheetId="16" r:id="rId5"/>
    <sheet name="Pivot" sheetId="2" state="hidden" r:id="rId6"/>
    <sheet name="Data sheet" sheetId="11" state="hidden" r:id="rId7"/>
    <sheet name="Sheet1" sheetId="15" state="hidden" r:id="rId8"/>
  </sheets>
  <definedNames>
    <definedName name="_xlnm._FilterDatabase" localSheetId="6" hidden="1">'Data sheet'!$A$1:$C$1</definedName>
    <definedName name="_xlnm.Print_Area" localSheetId="4">'How To Check'!$A$1:$F$78</definedName>
    <definedName name="_xlnm.Print_Area" localSheetId="1">'Main Form'!$A$1:$R$78</definedName>
    <definedName name="_xlnm.Print_Area" localSheetId="2">Subform!$A$1:$C$44</definedName>
    <definedName name="_xlnm.Print_Area" localSheetId="0">Summary!$A$1:$G$54</definedName>
  </definedNames>
  <calcPr calcId="191029"/>
  <pivotCaches>
    <pivotCache cacheId="1"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4" l="1"/>
  <c r="O3" i="14"/>
  <c r="N4" i="14"/>
  <c r="O4" i="14"/>
  <c r="P4" i="14"/>
  <c r="N5" i="14"/>
  <c r="O5" i="14"/>
  <c r="P5" i="14"/>
  <c r="N6" i="14"/>
  <c r="O6" i="14"/>
  <c r="P6" i="14"/>
  <c r="D19" i="13" s="1"/>
  <c r="N7" i="14"/>
  <c r="O7" i="14"/>
  <c r="P7" i="14"/>
  <c r="N8" i="14"/>
  <c r="O8" i="14"/>
  <c r="P8" i="14"/>
  <c r="N9" i="14"/>
  <c r="O9" i="14"/>
  <c r="P9" i="14"/>
  <c r="N10" i="14"/>
  <c r="O10" i="14"/>
  <c r="P10" i="14"/>
  <c r="N11" i="14"/>
  <c r="O11" i="14"/>
  <c r="P11" i="14"/>
  <c r="N12" i="14"/>
  <c r="O12" i="14"/>
  <c r="P12" i="14"/>
  <c r="N13" i="14"/>
  <c r="O13" i="14"/>
  <c r="P13" i="14"/>
  <c r="N14" i="14"/>
  <c r="O14" i="14"/>
  <c r="P14" i="14"/>
  <c r="N15" i="14"/>
  <c r="O15" i="14"/>
  <c r="P15" i="14"/>
  <c r="N16" i="14"/>
  <c r="O16" i="14"/>
  <c r="P16" i="14"/>
  <c r="N17" i="14"/>
  <c r="O17" i="14"/>
  <c r="P17" i="14"/>
  <c r="N18" i="14"/>
  <c r="O18" i="14"/>
  <c r="P18" i="14"/>
  <c r="N19" i="14"/>
  <c r="O19" i="14"/>
  <c r="P19" i="14"/>
  <c r="N20" i="14"/>
  <c r="O20" i="14"/>
  <c r="P20" i="14"/>
  <c r="N21" i="14"/>
  <c r="O21" i="14"/>
  <c r="P21" i="14"/>
  <c r="N22" i="14"/>
  <c r="O22" i="14"/>
  <c r="P22" i="14"/>
  <c r="N23" i="14"/>
  <c r="O23" i="14"/>
  <c r="P23" i="14"/>
  <c r="N24" i="14"/>
  <c r="O24" i="14"/>
  <c r="P24" i="14"/>
  <c r="N25" i="14"/>
  <c r="O25" i="14"/>
  <c r="P25" i="14"/>
  <c r="N26" i="14"/>
  <c r="O26" i="14"/>
  <c r="P26" i="14"/>
  <c r="D22" i="13" s="1"/>
  <c r="N27" i="14"/>
  <c r="O27" i="14"/>
  <c r="P27" i="14"/>
  <c r="N28" i="14"/>
  <c r="O28" i="14"/>
  <c r="P28" i="14"/>
  <c r="N29" i="14"/>
  <c r="O29" i="14"/>
  <c r="P29" i="14"/>
  <c r="N30" i="14"/>
  <c r="O30" i="14"/>
  <c r="P30" i="14"/>
  <c r="N31" i="14"/>
  <c r="O31" i="14"/>
  <c r="P31" i="14"/>
  <c r="N32" i="14"/>
  <c r="O32" i="14"/>
  <c r="P32" i="14"/>
  <c r="N33" i="14"/>
  <c r="O33" i="14"/>
  <c r="P33" i="14"/>
  <c r="N34" i="14"/>
  <c r="O34" i="14"/>
  <c r="P34" i="14"/>
  <c r="N35" i="14"/>
  <c r="O35" i="14"/>
  <c r="P35" i="14"/>
  <c r="N36" i="14"/>
  <c r="O36" i="14"/>
  <c r="P36" i="14"/>
  <c r="N37" i="14"/>
  <c r="O37" i="14"/>
  <c r="P37" i="14"/>
  <c r="N38" i="14"/>
  <c r="O38" i="14"/>
  <c r="P38" i="14"/>
  <c r="N39" i="14"/>
  <c r="O39" i="14"/>
  <c r="P39" i="14"/>
  <c r="N40" i="14"/>
  <c r="O40" i="14"/>
  <c r="P40" i="14"/>
  <c r="N41" i="14"/>
  <c r="O41" i="14"/>
  <c r="P41" i="14"/>
  <c r="N42" i="14"/>
  <c r="O42" i="14"/>
  <c r="P42" i="14"/>
  <c r="D25" i="13" s="1"/>
  <c r="N43" i="14"/>
  <c r="O43" i="14"/>
  <c r="P43" i="14"/>
  <c r="N44" i="14"/>
  <c r="O44" i="14"/>
  <c r="P44" i="14"/>
  <c r="N45" i="14"/>
  <c r="O45" i="14"/>
  <c r="P45" i="14"/>
  <c r="N46" i="14"/>
  <c r="O46" i="14"/>
  <c r="P46" i="14"/>
  <c r="N47" i="14"/>
  <c r="O47" i="14"/>
  <c r="P47" i="14"/>
  <c r="N48" i="14"/>
  <c r="O48" i="14"/>
  <c r="P48" i="14"/>
  <c r="N49" i="14"/>
  <c r="O49" i="14"/>
  <c r="P49" i="14"/>
  <c r="N50" i="14"/>
  <c r="O50" i="14"/>
  <c r="P50" i="14"/>
  <c r="N51" i="14"/>
  <c r="O51" i="14"/>
  <c r="P51" i="14"/>
  <c r="N52" i="14"/>
  <c r="O52" i="14"/>
  <c r="P52" i="14"/>
  <c r="N53" i="14"/>
  <c r="O53" i="14"/>
  <c r="P53" i="14"/>
  <c r="N54" i="14"/>
  <c r="O54" i="14"/>
  <c r="P54" i="14"/>
  <c r="N55" i="14"/>
  <c r="O55" i="14"/>
  <c r="P55" i="14"/>
  <c r="N56" i="14"/>
  <c r="O56" i="14"/>
  <c r="P56" i="14"/>
  <c r="N57" i="14"/>
  <c r="O57" i="14"/>
  <c r="P57" i="14"/>
  <c r="N58" i="14"/>
  <c r="O58" i="14"/>
  <c r="P58" i="14"/>
  <c r="N59" i="14"/>
  <c r="O59" i="14"/>
  <c r="P59" i="14"/>
  <c r="N60" i="14"/>
  <c r="O60" i="14"/>
  <c r="P60" i="14"/>
  <c r="N61" i="14"/>
  <c r="O61" i="14"/>
  <c r="P61" i="14"/>
  <c r="N62" i="14"/>
  <c r="O62" i="14"/>
  <c r="P62" i="14"/>
  <c r="N63" i="14"/>
  <c r="O63" i="14"/>
  <c r="P63" i="14"/>
  <c r="N64" i="14"/>
  <c r="O64" i="14"/>
  <c r="P64" i="14"/>
  <c r="N65" i="14"/>
  <c r="O65" i="14"/>
  <c r="P65" i="14"/>
  <c r="N66" i="14"/>
  <c r="O66" i="14"/>
  <c r="P66" i="14"/>
  <c r="N67" i="14"/>
  <c r="O67" i="14"/>
  <c r="P67" i="14"/>
  <c r="N68" i="14"/>
  <c r="O68" i="14"/>
  <c r="P68" i="14"/>
  <c r="N69" i="14"/>
  <c r="O69" i="14"/>
  <c r="P69" i="14"/>
  <c r="N70" i="14"/>
  <c r="O70" i="14"/>
  <c r="P70" i="14"/>
  <c r="N71" i="14"/>
  <c r="O71" i="14"/>
  <c r="P71" i="14"/>
  <c r="N72" i="14"/>
  <c r="O72" i="14"/>
  <c r="P72" i="14"/>
  <c r="N73" i="14"/>
  <c r="O73" i="14"/>
  <c r="P73" i="14"/>
  <c r="N74" i="14"/>
  <c r="O74" i="14"/>
  <c r="P74" i="14"/>
  <c r="N75" i="14"/>
  <c r="O75" i="14"/>
  <c r="P75" i="14"/>
  <c r="N76" i="14"/>
  <c r="O76" i="14"/>
  <c r="P76" i="14"/>
  <c r="N77" i="14"/>
  <c r="O77" i="14"/>
  <c r="P77" i="14"/>
  <c r="P3" i="14"/>
  <c r="E26" i="13" l="1"/>
  <c r="D11" i="13"/>
  <c r="D9" i="13"/>
  <c r="D23" i="13"/>
  <c r="D29" i="13"/>
  <c r="D16" i="13"/>
  <c r="E11" i="13"/>
  <c r="D24" i="13"/>
  <c r="D20" i="13"/>
  <c r="D27" i="13"/>
  <c r="D21" i="13"/>
  <c r="E10" i="13"/>
  <c r="D18" i="13"/>
  <c r="D28" i="13"/>
  <c r="D26" i="13"/>
  <c r="D17" i="13"/>
  <c r="E25" i="13"/>
  <c r="D10" i="13"/>
  <c r="E9" i="13"/>
  <c r="E24" i="13"/>
  <c r="E23" i="13"/>
  <c r="E16" i="13"/>
  <c r="E20" i="13"/>
  <c r="E29" i="13"/>
  <c r="E19" i="13"/>
  <c r="E21" i="13"/>
  <c r="E28" i="13"/>
  <c r="E18" i="13"/>
  <c r="E30" i="13"/>
  <c r="E27" i="13"/>
  <c r="E17" i="13"/>
  <c r="E22" i="13"/>
  <c r="D30" i="13"/>
  <c r="C3" i="13"/>
  <c r="D31" i="13" l="1"/>
  <c r="E12" i="13"/>
  <c r="F16" i="13"/>
  <c r="F9" i="13"/>
  <c r="G9" i="13" s="1"/>
  <c r="F17" i="13"/>
  <c r="F19" i="13"/>
  <c r="F26" i="13"/>
  <c r="F11" i="13"/>
  <c r="F18" i="13" l="1"/>
  <c r="E31" i="13"/>
  <c r="F31" i="13" s="1"/>
  <c r="F10" i="13"/>
  <c r="F20" i="13"/>
  <c r="F29" i="13"/>
  <c r="G10" i="13" l="1"/>
  <c r="F23" i="13"/>
  <c r="F24" i="13"/>
  <c r="F22" i="13"/>
  <c r="F28" i="13"/>
  <c r="F25" i="13"/>
  <c r="F27" i="13"/>
  <c r="F30" i="13"/>
  <c r="F21" i="13"/>
  <c r="D12" i="13" l="1"/>
  <c r="F12" i="13" s="1"/>
  <c r="G12" i="13" s="1"/>
</calcChain>
</file>

<file path=xl/sharedStrings.xml><?xml version="1.0" encoding="utf-8"?>
<sst xmlns="http://schemas.openxmlformats.org/spreadsheetml/2006/main" count="1547" uniqueCount="435">
  <si>
    <t>AFTERSALES STANDARDS COMPLIANCE AUDIT FORM FY2025</t>
  </si>
  <si>
    <t>Dealer:</t>
  </si>
  <si>
    <t>Date:</t>
  </si>
  <si>
    <t>Outlet:</t>
  </si>
  <si>
    <t>Auditor:</t>
  </si>
  <si>
    <t>Overall Audit Score</t>
  </si>
  <si>
    <t>No.</t>
  </si>
  <si>
    <t>Category</t>
  </si>
  <si>
    <t>Total</t>
  </si>
  <si>
    <t>Score</t>
  </si>
  <si>
    <t>% Score</t>
  </si>
  <si>
    <t>Rating</t>
  </si>
  <si>
    <t>1</t>
  </si>
  <si>
    <t>Basic</t>
  </si>
  <si>
    <t>2</t>
  </si>
  <si>
    <t>Standard</t>
  </si>
  <si>
    <t>3</t>
  </si>
  <si>
    <t>Beyond</t>
  </si>
  <si>
    <t xml:space="preserve">TOTAL:    </t>
  </si>
  <si>
    <t>Compliance Per Category</t>
  </si>
  <si>
    <t>Coverage</t>
  </si>
  <si>
    <t>Facilities</t>
  </si>
  <si>
    <t>Systems</t>
  </si>
  <si>
    <t>Manpower</t>
  </si>
  <si>
    <t>Pro-active Customer Contact</t>
  </si>
  <si>
    <t>Customer Appointment</t>
  </si>
  <si>
    <t>Personalized Customer Reception</t>
  </si>
  <si>
    <t>Menu Pricing / Commitment of Price and Time Delivery</t>
  </si>
  <si>
    <t>Customer Care and Communication</t>
  </si>
  <si>
    <t>Workshop Scheduling</t>
  </si>
  <si>
    <t>Advance Info to Parts Store</t>
  </si>
  <si>
    <t>Repair Order Processing and 
Quality of Work</t>
  </si>
  <si>
    <t>Repair Order Completion 
and Invoicing</t>
  </si>
  <si>
    <t>Customer Information  
and Car Return</t>
  </si>
  <si>
    <t>x</t>
  </si>
  <si>
    <t>Customer After Service Contact</t>
  </si>
  <si>
    <t>Concern Prevention 
and Resolution</t>
  </si>
  <si>
    <t xml:space="preserve">Total:    </t>
  </si>
  <si>
    <t>Subject</t>
  </si>
  <si>
    <t>Check Item</t>
  </si>
  <si>
    <t>Judgment</t>
  </si>
  <si>
    <t>Action Plan</t>
  </si>
  <si>
    <t>Commitment Date</t>
  </si>
  <si>
    <t>Count NA</t>
  </si>
  <si>
    <t>Audit Result Part 1</t>
  </si>
  <si>
    <t>Audit Result Part 2</t>
  </si>
  <si>
    <t>Manpower Count</t>
  </si>
  <si>
    <t xml:space="preserve">Check accuracy of manpower list from latest submission to Network Training Department (NTD).
</t>
  </si>
  <si>
    <t>NO</t>
  </si>
  <si>
    <t>Training Requirements</t>
  </si>
  <si>
    <t>Dealer has at least 1 designated Aftersales Training person in charge.</t>
  </si>
  <si>
    <t>YES</t>
  </si>
  <si>
    <t>All Customer Relations Department personnel are accredited following these timelines:
*Level 1: within 30 days upon hiring
*Level 2: within 3-6 months upon hiring
*Level 3: within 1 year upon hiring</t>
  </si>
  <si>
    <t>N/A</t>
  </si>
  <si>
    <t>Offering of date and time</t>
  </si>
  <si>
    <t xml:space="preserve">Does Telemarketer follow standard appointment balance for the day?
</t>
  </si>
  <si>
    <t>Reason of Rejection</t>
  </si>
  <si>
    <t>Does Telemarketer record reason of rejection in case customer do not accept PMS appointment.</t>
  </si>
  <si>
    <t>Contact Details</t>
  </si>
  <si>
    <t>The CRO and Service Advisor should have a printed QR Code of contact number or hotline number visible to the customers.</t>
  </si>
  <si>
    <t>Blocking of SA for Walk-In customer</t>
  </si>
  <si>
    <t>Does Telemarketer perform block time for walk-in customers?</t>
  </si>
  <si>
    <t>SA assignment</t>
  </si>
  <si>
    <t>Does Telemarketer assign and inform each SA their assigned customer with their appointment time?</t>
  </si>
  <si>
    <t>Reconfirmation Call</t>
  </si>
  <si>
    <t>Does Telemarketer make appointment reconfirmation call the day before?</t>
  </si>
  <si>
    <t>Otoleap Booking Management</t>
  </si>
  <si>
    <t>There should be no pending bookings more than 24hrs after it was created (Otoleap)</t>
  </si>
  <si>
    <t>Appointment Welcome Board</t>
  </si>
  <si>
    <t>Is the Appointment Welcome board visible to customer?
With complete details as follows:
1) today's date
2) time slot
3) name or plate number of customer
4) SA name
5) purpose of visit: e.g. 10K PMS, GR, etc.
6) Arrival Status (Green - On time, Yellow - Late, Red - No Show)</t>
  </si>
  <si>
    <t>Appointment</t>
  </si>
  <si>
    <t>Telemarketer shares the list of customers booked 1 day before the day of appointment to all concerned after-sales personnel (Security Guard, Job Controller, Leadman, Parts Warehouse Staff, Service Advisor, Service Manager, Sales Executive - optional)</t>
  </si>
  <si>
    <t>Dedicated Appointment and Walk-In Bay</t>
  </si>
  <si>
    <t>Is there dedicated appointment bay and walk in receiving bays?</t>
  </si>
  <si>
    <t>Customer Relations Department</t>
  </si>
  <si>
    <t>Customer Relations Department (CRO, Receptionist, Telemarketer) personnel count must be based on the standard requirements.</t>
  </si>
  <si>
    <t>Queuing system</t>
  </si>
  <si>
    <t>Is there a queuing system in the reception area?</t>
  </si>
  <si>
    <t>Peak hours</t>
  </si>
  <si>
    <t>Is there a Receptionist who will accommodate customer during peak hours or if all SA's are still accomodating the customers?</t>
  </si>
  <si>
    <t>CRM Requirements</t>
  </si>
  <si>
    <t>Dedicated digital tablet for walk-around inspection is available. (1 Tablet : 1 SA) (Updated to minimum Google Android ver. 9; Apple iOS 10)</t>
  </si>
  <si>
    <t>Walk Around Inspection</t>
  </si>
  <si>
    <t>Does SA always inspect vehicle for any car body damage using standard walk around inspection checklist?</t>
  </si>
  <si>
    <t>Protective Covers</t>
  </si>
  <si>
    <t>Does SA always put the following protective covers before transfering the vehicle to workshop?
1. Steering wheel cover
2. Seat Cover
3. Shifting knob cover
4. Handbrake cover
5. Floormats</t>
  </si>
  <si>
    <t>Vehicle Status Tag</t>
  </si>
  <si>
    <t>Do all vehicles in the workshop have a vehicle status tag with promised date/ time?</t>
  </si>
  <si>
    <t>Direct Reption</t>
  </si>
  <si>
    <t xml:space="preserve">Is there Direct Reception Process done inside the workshop? </t>
  </si>
  <si>
    <t>Workshop Driveway</t>
  </si>
  <si>
    <t>Workshop entrance/exit is clear of obstructions at all times and not used as parking slots</t>
  </si>
  <si>
    <t>Service Reception Area</t>
  </si>
  <si>
    <t>See sheet: "Subform"</t>
  </si>
  <si>
    <t>Promised Time</t>
  </si>
  <si>
    <t>Does SA provide the customer a promised time of delivery by checking availability of technician through job controller/ Job Progress Monitoring file?</t>
  </si>
  <si>
    <t>Cost Estimate</t>
  </si>
  <si>
    <t>On the Repair Order, is cost estimate always attached?</t>
  </si>
  <si>
    <t>SA Individual Note</t>
  </si>
  <si>
    <t xml:space="preserve">Does SA have an individual note with promised time of all received customers?
</t>
  </si>
  <si>
    <t>Customers' Lounge</t>
  </si>
  <si>
    <t>&gt; See sheet: "Subform"</t>
  </si>
  <si>
    <t>Offering of amenities</t>
  </si>
  <si>
    <t>Service Personnel/Service Advisor/ CRO/ SA on Duty verbally offers all available lounge amenities to customers (WiFi access/ password, Sofa, TV, CR)
1) complimentary drink and snack 
2) WIFI, Password
3) Mobile charging station
4) How to read YANA vehicle status update
5) Televison/ reading materials
6) Comfort Room</t>
  </si>
  <si>
    <t>Stable internet connection at the ff. area: 
(Bandwidth&gt; 1Mbps and Latency&lt;150ms) via Ookla speedtest
1. Service Reception
2. Receiving Bay</t>
  </si>
  <si>
    <t>Dedicated Vehicle Status Monitor must be visibly displayed and reflects the latest vehicle status update at the Customer Lounge</t>
  </si>
  <si>
    <t>Shuttle Service Assistance</t>
  </si>
  <si>
    <t>Does the SA offer shuttle service transportation or assistance (e.g. grab, taxi etc…)?</t>
  </si>
  <si>
    <t>Assigned Sales Executive</t>
  </si>
  <si>
    <t>Did salesperson make contact with customer who was waiting at the lounge?
150K &gt; offer new vehicle</t>
  </si>
  <si>
    <t>Service Advisor</t>
  </si>
  <si>
    <t xml:space="preserve">Does SA inform progress of vehicle to the waiting customer 1 hr after issuance of RO? </t>
  </si>
  <si>
    <t>Customer Information Sheet</t>
  </si>
  <si>
    <t>Customer Information Sheet (CIS) and DPA Form is being used by Receptionist to gather customer contact information as needed.</t>
  </si>
  <si>
    <t>Job Progress Monitoring</t>
  </si>
  <si>
    <t>Did the Job Controller conduct pre-planning  based on the appointment sheet for the day and regularly monitors actual progress of units in the shop?</t>
  </si>
  <si>
    <t>Carwash Control Board</t>
  </si>
  <si>
    <t>Is car wash control board available, properly filled out and based on the standard template?</t>
  </si>
  <si>
    <t>Did Job Controller make car wash plan and communicate with carwasher the promised time of received customers?</t>
  </si>
  <si>
    <t>Technicians Clock-In</t>
  </si>
  <si>
    <t>Do technicians clock in as soon as RO is handed over and clock out as soon as job is completed (excluding QC)?</t>
  </si>
  <si>
    <t>Repair</t>
  </si>
  <si>
    <t>Carryover units are properly monitored and managed (with monitoring) by Job Controller.</t>
  </si>
  <si>
    <t>Pre-Picking</t>
  </si>
  <si>
    <t xml:space="preserve">Does Parts Staff pre-pick parts for appointment and walk-in customers?
</t>
  </si>
  <si>
    <t>Emergency Parts</t>
  </si>
  <si>
    <t>Is there any monitoring to ensure that the Leadman/ technician who is waiting for emergency parts is contacted immediately after delivery/receiving of parts?</t>
  </si>
  <si>
    <t>Parts 5S</t>
  </si>
  <si>
    <t>Are there no parts on the floor without bin locator? And/ or does each locator stores only one kind of parts?</t>
  </si>
  <si>
    <t xml:space="preserve">Does Leadman indicate or instruct target job completion time to the assigned technician? </t>
  </si>
  <si>
    <t>Unapproved Job</t>
  </si>
  <si>
    <t>In case of unapproved job by the customer, does SA record as "future work reminder" in service history of DMS?</t>
  </si>
  <si>
    <t>Workshop Maintenance</t>
  </si>
  <si>
    <t>Workbays are marked with demarcation lines, and identified with numbers; Cleanliness inside the workshop area is maintained (no lingering oil and water spills, and scattered items)</t>
  </si>
  <si>
    <r>
      <rPr>
        <u/>
        <sz val="16"/>
        <rFont val="MMC OFFICE"/>
      </rPr>
      <t>Service Vehicle:</t>
    </r>
    <r>
      <rPr>
        <sz val="16"/>
        <rFont val="MMC OFFICE"/>
      </rPr>
      <t xml:space="preserve">
All service vehicle has exterior covers installed (bumper and fender)</t>
    </r>
  </si>
  <si>
    <t>Tools Storage Room</t>
  </si>
  <si>
    <t>&gt; Items are properly sorted and stored
&gt; Cleanliness inside the tool room is maintained
&gt; Special service tools are wall-mounted
&gt; There is an updated borrower's logbook</t>
  </si>
  <si>
    <t>Components Repair Room</t>
  </si>
  <si>
    <t>&gt; The components repair room is used for its intended purpose
&gt; The required tools are present and properly managed
&gt; Has adequate illumination and ventilation</t>
  </si>
  <si>
    <t>Waste Oil Storage</t>
  </si>
  <si>
    <t xml:space="preserve">&gt; Storage area is enclosed  
&gt; Drums are placed on top of elevated platforms  
&gt; No oil spills on the floor and with regular schedule disposal pullout </t>
  </si>
  <si>
    <t>Warranty Parts Storage</t>
  </si>
  <si>
    <t xml:space="preserve">&gt; Storage area is enclosed  
&gt; Contains storage racks and bins; replaced parts must be secured with box 
&gt; Follows the standard 30-60-90 days sorting scheme 
&gt; Should have a proper tagging and inventory list and monitoring </t>
  </si>
  <si>
    <t>Scrapped Parts Storage</t>
  </si>
  <si>
    <t xml:space="preserve">Placed at the back part of the service shop and properly maintained </t>
  </si>
  <si>
    <t>Dismantled Parts Storage</t>
  </si>
  <si>
    <t xml:space="preserve">Must be in an enclosed area with enough racks and bins for proper sorting </t>
  </si>
  <si>
    <t>Mitsubishi Quick Service</t>
  </si>
  <si>
    <t>Employee Facilities</t>
  </si>
  <si>
    <t>Meeting Room</t>
  </si>
  <si>
    <t>Service Documents</t>
  </si>
  <si>
    <t>Has updated access account on Service Information Portal</t>
  </si>
  <si>
    <t>Employees' Uniform</t>
  </si>
  <si>
    <t>All service personnel should be neatly dressed and Technicians must wear the latest MMPC-prescribed uniform.</t>
  </si>
  <si>
    <t>Does vehicle status tag indicate proper status inside the shop? (e.g. if ongoing repair, or for car wash, etc.)</t>
  </si>
  <si>
    <t>Delivery</t>
  </si>
  <si>
    <t>Escorted the customer to his/her vehicle.</t>
  </si>
  <si>
    <t>Car Return</t>
  </si>
  <si>
    <t>Did SA inform waiting customer and non waiting customer when car is ready for return?</t>
  </si>
  <si>
    <r>
      <rPr>
        <u/>
        <sz val="16"/>
        <rFont val="MMC OFFICE"/>
      </rPr>
      <t>Documentation:</t>
    </r>
    <r>
      <rPr>
        <sz val="16"/>
        <rFont val="MMC OFFICE"/>
      </rPr>
      <t xml:space="preserve">
Proper utilization of all service documents (Rationalized Checksheet, Repair Order, Service Invoice)</t>
    </r>
  </si>
  <si>
    <t>Actual Cost</t>
  </si>
  <si>
    <t>Does SA refer to the initial agreed RO and quoted price?</t>
  </si>
  <si>
    <t>Replaced Parts</t>
  </si>
  <si>
    <t>Does SA show replaced parts (if applicable) during delivery process?</t>
  </si>
  <si>
    <t>QVOC Reminder</t>
  </si>
  <si>
    <t>Does Service Advisor remind the customer regarding QVOC?</t>
  </si>
  <si>
    <t>Removal of Protective Cover</t>
  </si>
  <si>
    <t xml:space="preserve">Does SA remove the Protective Cover Sheet in the presence of Customer before vehicle is delivered back to the Customer? </t>
  </si>
  <si>
    <t>Follow-Up Call</t>
  </si>
  <si>
    <t>Does SA mention about the follow up call and its purpose such as the following?
 &gt; to give notice to the customer that follow up call will be made by CRO within 3 days
 &gt; benefit of the follow up call for customer
 &gt; preferable time to receive a call</t>
  </si>
  <si>
    <t>Does CRO conduct 3 days after service follow up calls?</t>
  </si>
  <si>
    <t>Complaint Monitoring Tracking Report</t>
  </si>
  <si>
    <t>Does CRO categorize concerns based on follow up call result and collected QVOC responses? (i.e. concern on parking, attitude of staff, quality of work, price of RO etc.)</t>
  </si>
  <si>
    <t>Does the Complaint Monitoring Tracking Report include open concern (concern that has no implemented action within 7 calendar days).</t>
  </si>
  <si>
    <t>MAM</t>
  </si>
  <si>
    <t>Is "Weekly Meeting" (MAM) organized at least once a week at the same time on the same day of week?</t>
  </si>
  <si>
    <t>Is "Daily Meeting" (MOM) organized daily with workshop staff at the same time ?</t>
  </si>
  <si>
    <t xml:space="preserve">Is there any information board which displays actions or KPI derived from MAM? </t>
  </si>
  <si>
    <t>MOM</t>
  </si>
  <si>
    <t>Is there any information board which displays key information, and suggestions from workshop staff derived from MOM?</t>
  </si>
  <si>
    <t>5S</t>
  </si>
  <si>
    <t>5S Checklists are accomplished by PICs.</t>
  </si>
  <si>
    <r>
      <t xml:space="preserve">Are the following KPI being monitored and ready to be discussed in case its necessary during "Weekly Meeting"?: 
</t>
    </r>
    <r>
      <rPr>
        <u/>
        <sz val="10"/>
        <rFont val="MMC OFFICE"/>
      </rPr>
      <t>MAIN KPI:</t>
    </r>
    <r>
      <rPr>
        <sz val="10"/>
        <rFont val="MMC OFFICE"/>
      </rPr>
      <t xml:space="preserve">
1) Actual SIU and target agreed with MMPC
2) Actual first retention rate
3) Actual P&amp;A booking and target agreed with MMPC
4) Stock month of fast moving parts
5) Appointment ratio
6) Dead stock ratio 
7) CSI
</t>
    </r>
    <r>
      <rPr>
        <u/>
        <sz val="10"/>
        <rFont val="MMC OFFICE"/>
      </rPr>
      <t>Technician Report:</t>
    </r>
    <r>
      <rPr>
        <sz val="10"/>
        <rFont val="MMC OFFICE"/>
      </rPr>
      <t xml:space="preserve">
8) Efficiency (labor sold hr / actual worked hr)
9) Utilization (actual worked hr / available hr)
10) Productivity (efficiency x utilization)
</t>
    </r>
    <r>
      <rPr>
        <u/>
        <sz val="10"/>
        <rFont val="MMC OFFICE"/>
      </rPr>
      <t>CRO/ Telemarketer:</t>
    </r>
    <r>
      <rPr>
        <sz val="10"/>
        <rFont val="MMC OFFICE"/>
      </rPr>
      <t xml:space="preserve">
11) Reminder call coverage ratio (actual reminder call / target reminder call)
12) Proactive call acceptance ratio (actual accepted appointment booking / called customer)
13) Follow up call ratio
14) Customer Complaint Tracking Discussion (Red alert, critical concerns)
15) Appointment balance for a day (Morning = 80%, Afternoon = 20%)
</t>
    </r>
    <r>
      <rPr>
        <u/>
        <sz val="10"/>
        <rFont val="MMC OFFICE"/>
      </rPr>
      <t xml:space="preserve">Job Controller: </t>
    </r>
    <r>
      <rPr>
        <sz val="10"/>
        <rFont val="MMC OFFICE"/>
      </rPr>
      <t xml:space="preserve">
16) On time delivery and on time arrival ratio (from service time monitoring)
</t>
    </r>
    <r>
      <rPr>
        <u/>
        <sz val="10"/>
        <rFont val="MMC OFFICE"/>
      </rPr>
      <t xml:space="preserve">Others:
</t>
    </r>
    <r>
      <rPr>
        <sz val="10"/>
        <rFont val="MMC OFFICE"/>
      </rPr>
      <t>17) Fix it right first time or repeat repair ratio (F1)
18) Direct reception (optional)
19) Focus item upselling (optional)</t>
    </r>
  </si>
  <si>
    <t xml:space="preserve">Service Reception signage follows the standard design, and must be clearly displayed at the entrance </t>
  </si>
  <si>
    <t xml:space="preserve">Business hours clearly displayed at the entrance door </t>
  </si>
  <si>
    <t>Three (3) monitors (with 42" minimum dimension) are wall-mounted behind the Service Advisor counters, and displays service information and promotional videos</t>
  </si>
  <si>
    <t xml:space="preserve">CSI </t>
  </si>
  <si>
    <t>Service hotlines (appointment, customer, car carrier) and MM360c App QR codes are clearly displayed at the Reception Area</t>
  </si>
  <si>
    <t>Must be provided with proper AC temperature (must be minimum of 25°C in thermometer) for customers' convenience</t>
  </si>
  <si>
    <t>Service reception counter must observe 5S (mainly service advisor's table)</t>
  </si>
  <si>
    <t>Standard PMS menu and cost are displayed in the center monitor</t>
  </si>
  <si>
    <t>Receptionist/SA on duty must be located near the entrance.</t>
  </si>
  <si>
    <t>Must have sufficient illumination (open lights during operations) and no busted lights</t>
  </si>
  <si>
    <t xml:space="preserve">Employees' Restroom (Maintained clean and must have the proper amenities for convenience of use i.e. soap, water supply, tissue, etc.) </t>
  </si>
  <si>
    <t>Technician Locker Room and Shower are adjacent with each other</t>
  </si>
  <si>
    <t xml:space="preserve">Sufficient no. of technicians' lockers </t>
  </si>
  <si>
    <t xml:space="preserve">Technician Locker Room has sufficient no. of tables and benches </t>
  </si>
  <si>
    <t>Technician Locker Room walls and flooring must have proper paint</t>
  </si>
  <si>
    <t xml:space="preserve">Technician Locker Room has proper lighting and ventilation </t>
  </si>
  <si>
    <t xml:space="preserve">Technician Shower Room has sufficient no. of showers, urinals, and toilet cubicle </t>
  </si>
  <si>
    <t xml:space="preserve">Technician Shower Room has clean toilets bowls with flush, bidet, tissue and soap </t>
  </si>
  <si>
    <t>Technician shower and toilets are completely functional</t>
  </si>
  <si>
    <t xml:space="preserve">Technician waiting area (Near the Job Controller room for efficient job order dispatch) </t>
  </si>
  <si>
    <t xml:space="preserve">Technician waiting area (Sufficient benches) </t>
  </si>
  <si>
    <t>Technician handwash booth (Adequate supply of water) (separate booth is optional)</t>
  </si>
  <si>
    <t>Allocated Meeting/ Conference Room especially for online trainings</t>
  </si>
  <si>
    <t>Available projector and PC/laptop (to be used for online trainings)</t>
  </si>
  <si>
    <t>Available Wi-Fi (Internet Connection = 10mbps)</t>
  </si>
  <si>
    <t xml:space="preserve">Dedicated MQS bay with complete MQS basic and advanced tools </t>
  </si>
  <si>
    <t>Proper execution of MQS sequence</t>
  </si>
  <si>
    <t>Check 1 sample of MQS vehicle if within prescribed time</t>
  </si>
  <si>
    <t>MQS technician must be provided with complete QS uniforms</t>
  </si>
  <si>
    <t>Sofas must be sufficient, comfortable, and maintained in good condition (Refer to MMPC corporate Visual Identity (VI) manual for the color)</t>
  </si>
  <si>
    <t xml:space="preserve">Room temperature must be minimum of 25°C; temperature must be displayed through a thermometer </t>
  </si>
  <si>
    <t>Must offer at least three kinds of complimentary beverage (water, coffee, and juice) and at least one kind of snack</t>
  </si>
  <si>
    <t>Television must have media player or cable channels</t>
  </si>
  <si>
    <t>There's an available Wi-Fi with a speed of at least 10 Mbps when measured using speed test (Measuring tool: https://www.speedtest.net/)</t>
  </si>
  <si>
    <t xml:space="preserve">There are available power outlets for mobile phone, tablet, and laptop </t>
  </si>
  <si>
    <t>Service customer lounge must observe 5S at all times</t>
  </si>
  <si>
    <t>Customer restroom's cleanliness is maintained at all times, and with updated maintenance monitoring sheet (clean, no foul odor, etc.)</t>
  </si>
  <si>
    <t>Customer restroom must have complete amenities (Minimum requirements: clean water supply, toilet bowl, sink, urinal, bidet, trash cans, air freshener and no foul odor, tissue, paper towel or hand dryer, hand wash soap, and hand sanitizer)</t>
  </si>
  <si>
    <t>Signages must be clearly displayed and follows the latest VI design: “Customer Lounge”, “Complimentary Wi-Fi”, “Complimentary Beverages and Snacks”, “Charging Station”, “Customer Restroom”</t>
  </si>
  <si>
    <t>Service Document</t>
  </si>
  <si>
    <t>Check item</t>
  </si>
  <si>
    <t>R.O. Number</t>
  </si>
  <si>
    <t>Type of Job (mileage)</t>
  </si>
  <si>
    <t>Rationalized Checksheet</t>
  </si>
  <si>
    <t>Uses latest Rationalized Checksheet (5k or 10k)</t>
  </si>
  <si>
    <t>Complete Name and Plate Number</t>
  </si>
  <si>
    <t xml:space="preserve">PMS checklist is properly filled-out </t>
  </si>
  <si>
    <t xml:space="preserve">Safety checklist is properly filled-out </t>
  </si>
  <si>
    <t xml:space="preserve">Carwash checklist is properly filled-out </t>
  </si>
  <si>
    <t xml:space="preserve">Final walk-around inspection checklist is properly filled-out </t>
  </si>
  <si>
    <t xml:space="preserve">10pts. Service Advisor Checklist is properly filled-out </t>
  </si>
  <si>
    <t xml:space="preserve">With SA' Signature </t>
  </si>
  <si>
    <t xml:space="preserve">With Technician's signature </t>
  </si>
  <si>
    <t xml:space="preserve">With Leadman's signature </t>
  </si>
  <si>
    <t xml:space="preserve">With customer's signature </t>
  </si>
  <si>
    <t>Repair Order</t>
  </si>
  <si>
    <t xml:space="preserve">Complete customer and vehicle details </t>
  </si>
  <si>
    <t xml:space="preserve">Promised time of delivery is indicated </t>
  </si>
  <si>
    <t xml:space="preserve">With Customer's signature </t>
  </si>
  <si>
    <t>Service Invoice</t>
  </si>
  <si>
    <t xml:space="preserve">Date/time actual repair time is indicated </t>
  </si>
  <si>
    <t>Customer's and SA's signature</t>
  </si>
  <si>
    <t>Next PMS Schedule is indicated with MM360c App booking code</t>
  </si>
  <si>
    <t>How to Check</t>
  </si>
  <si>
    <t>Check if latest submitted file of manpower list is accurate with actual manpower allocation.</t>
  </si>
  <si>
    <t>Verify if dealer have assigned 1 Aftersales Training PIC as aligned with MMPC NTD Database.</t>
  </si>
  <si>
    <t>Check the training record from Training Department</t>
  </si>
  <si>
    <t>Check Appointment balance if:
Morning = 80%
Afternoon = 20%</t>
  </si>
  <si>
    <t>Check if there's a printed Customer Rejection Countermeasure and observe if utilized during call activities.</t>
  </si>
  <si>
    <t>Check if there's a printed QR Code of contact number or hotline number visible to the customers:
1. Telemarketer's hotline - for service appointment
2. CRO - for complaints</t>
  </si>
  <si>
    <t>Check Appointment List if there is alloted block time for walk in.</t>
  </si>
  <si>
    <t>Check Appointment List if there is SA allocated for each customer.</t>
  </si>
  <si>
    <t>Check Appointment List if with remarks that customers have been contacted for appointment reconfirmation 1 day prior.</t>
  </si>
  <si>
    <t>Check Otoleap calendar for the same month if there are no pending bookings the days prior the day of audit.</t>
  </si>
  <si>
    <t>Check if based on standard template, if installed near service entrance, and visible to incoming customers inside their vehicle.</t>
  </si>
  <si>
    <t>Check if all mentioned service personnel have a copy of the Appointment List.</t>
  </si>
  <si>
    <t>Check if SA/ Car Jockey is aware of the allocation of appointment and walk in receiving bays (minimum of 2 bays).</t>
  </si>
  <si>
    <t>Compute required count and function based on the latest released Standard Bulletin: MMPC SD-2024-010-S - Service CRD Manpower Count Duties  Responsibilities (Dec 2024)</t>
  </si>
  <si>
    <t>1. Observe if queuing system is effective and if process is consistently done by concerned service personnel. 
2. Interview 2 customers if they are aware of their queuing number, and if the prioritization system (On time/ early/ late appointment, and walk in customer) was explained by Receptionist/ SA especially if customer needs to wait for the SA's availability</t>
  </si>
  <si>
    <t>During peak hours, check if there is an assigned personnel who can receive customers or can explain prioritization process.</t>
  </si>
  <si>
    <t>Check if tablet is sufficient (1:1 with SA)</t>
  </si>
  <si>
    <t>Check 3 samples if walk around inspection is done and the WAI app is used by the SA; check all SA's implementation if possible.</t>
  </si>
  <si>
    <t>Check if all service units in the workbay (esp. ongoing repair) have complete protective covers.</t>
  </si>
  <si>
    <t>Check if all service units in the workbay have vehicle status tag.</t>
  </si>
  <si>
    <t>Check if there is allocated:
1) Dedicated bay
2) Customer safety area in case the bay is inside Workshop. If the bay is within reception area, the safety area is optional
3) DR kit is available- (Minimum: Glove, Battery tester, Tire gauge, Torch light)</t>
  </si>
  <si>
    <t xml:space="preserve">Observe service entrance if there is a parked unit for more than 20 minutes </t>
  </si>
  <si>
    <t>All check items in the subform must be "YES" to count this item compliant.</t>
  </si>
  <si>
    <t>Observe if SA gives promised time by using the shared Job Progress Monitoring/ Job Plan (updated) as reference, and not just based on flat rate time.</t>
  </si>
  <si>
    <t>Check 3 samples of Repair Order with signed Cost Estimate and observe if explained by the SA to the customer</t>
  </si>
  <si>
    <t>Check if SA uses any tool (e.g. notebook, notepad, excel, etc.) to ensure that all their received customers will be given update and that they can monitor nearing promised time per customer.</t>
  </si>
  <si>
    <t>Check by observing concerned personnel</t>
  </si>
  <si>
    <t>Check via Ookla speedtest</t>
  </si>
  <si>
    <t>1. Check availability of TV
2. Check 3 samples of service units and confirm current status if they match with the status displayed in the monitor.</t>
  </si>
  <si>
    <t>Check if there is poster and check by observing SA during RO processing and explanation with customer</t>
  </si>
  <si>
    <t>Check if SE has copy of appointment list and the required amenities (calling cards, notepads, and quotation notes for customer reference during discussion)</t>
  </si>
  <si>
    <t>Interview 2 customers to confirm if SA approached them to give vehicle status update.</t>
  </si>
  <si>
    <t>1. Observe received customers if being offered with CIS (if necessary)
2. Check if dealer compiles filled out and signed CIS forms.</t>
  </si>
  <si>
    <t>Check the Job Progress Monitoring toolkit (excel/ board):
- Check in the morning if all appointment customers are included in the job plan for the day
- Check if walk-in customers are also monitored for proper allocation per bay and technician
- Check if actual progress per unit is recorded in the toolkit</t>
  </si>
  <si>
    <t>Check if uses standard template and if filled out based on the current status of the vehicle inside the car wash bay.</t>
  </si>
  <si>
    <t>1. Check Job Progress Monitoring/ Job Plan if with car wash plan
2. Check if uses 2-way radio (Job Controller and Car washer)</t>
  </si>
  <si>
    <t>Check if there is a tool that is used to clock in and out Technician's repair time (that is being used by Service Manager to monitor productivity, utilization and efficiency)</t>
  </si>
  <si>
    <t>Check if there is a carry over units monitoring being utilized to monitor all remaining vehicles inside the shop.</t>
  </si>
  <si>
    <t>Check if there are pre-picked parts in a basket/ container with standard pre-picking tag in a storage shelves/ rack.</t>
  </si>
  <si>
    <t>Check monitoring tool used by the Parts Staff for emergency orders.</t>
  </si>
  <si>
    <t>Check parts warehouse as indicated.</t>
  </si>
  <si>
    <t>Check if vehicle status tag has promised time of delivery and in the windshield and Technician Visualization Tag is available and updated on a real time basis.</t>
  </si>
  <si>
    <t>Check DMS if there are notes on jobs rejected by customers (at least 3 samples)</t>
  </si>
  <si>
    <t>Check as indicated.</t>
  </si>
  <si>
    <t>Check if vehicle being serviced has complete exterior protective covers.</t>
  </si>
  <si>
    <t>Check if can access Service Information Portal (SIP); if none, provide email</t>
  </si>
  <si>
    <t>Check 3 samples of vehicles inside the shop with vehicle status tag that is updated based on actual status (e.g. if ongoing repair, or for car wash, etc.)</t>
  </si>
  <si>
    <t>Observe SA during vehicle handover process (2 samples)</t>
  </si>
  <si>
    <t>Observe 2 customers that is being reminded by Service Advisor that their vehicle is ready for hand over.</t>
  </si>
  <si>
    <t>All check items must be compliant (3 samples)</t>
  </si>
  <si>
    <t>Check 3 samples if Service Invoice matches with the Cost Estimate (same amount or below as agreed with customer)</t>
  </si>
  <si>
    <t>Check 2 vehicle handover process if replaced parts are shown to customer</t>
  </si>
  <si>
    <t>Check if there is a poster stating about the survey and shows the sample content of message
SA - Main PIC; Receptionist - Sub PIC</t>
  </si>
  <si>
    <t>Check 2 vehicle handover process</t>
  </si>
  <si>
    <t>Check monitoring tool used by the CRO if with update.</t>
  </si>
  <si>
    <t>Check Customer Complaint Monitoring (categorization)</t>
  </si>
  <si>
    <t>Check Customer Complaint Monitoring (updated status monitoring)</t>
  </si>
  <si>
    <t>Check latest minutes of the meeting (frequency)</t>
  </si>
  <si>
    <t xml:space="preserve">Check by observation and check latest minutes of the meeting </t>
  </si>
  <si>
    <t>Check availability of board in service office (or MAM meeting place) and if KPIs are displayed/ updated for discussion</t>
  </si>
  <si>
    <t>Check availability of board that is visible to all service personnel (inside shop) and if KPIs are displayed/ updated for discussion</t>
  </si>
  <si>
    <t>Check if standard 5S Checklists are filled out and updated.</t>
  </si>
  <si>
    <t>Check minutes of the meeting (quality)</t>
  </si>
  <si>
    <t>Main Category</t>
  </si>
  <si>
    <t>Grand Total</t>
  </si>
  <si>
    <t>Training Room</t>
  </si>
  <si>
    <t>Conference Room</t>
  </si>
  <si>
    <t>SA assignee</t>
  </si>
  <si>
    <t>Standard PMS Menu</t>
  </si>
  <si>
    <t>Parts Availability</t>
  </si>
  <si>
    <t>Bin Locator</t>
  </si>
  <si>
    <t>Dead Stock Rate</t>
  </si>
  <si>
    <t>Final Walk Around Inspection</t>
  </si>
  <si>
    <t>Next PMS Reminder</t>
  </si>
  <si>
    <t>Suggestion Scheme</t>
  </si>
  <si>
    <t>Branch</t>
  </si>
  <si>
    <t>Dealer Group</t>
  </si>
  <si>
    <t xml:space="preserve">Citimotors Incorporation </t>
  </si>
  <si>
    <t>Blulebird Motor Corp.</t>
  </si>
  <si>
    <t>Avescor Motors Incorporated</t>
  </si>
  <si>
    <t>Motor Plaza Incorporated</t>
  </si>
  <si>
    <t>Bajada</t>
  </si>
  <si>
    <t>Karasia Incorporated</t>
  </si>
  <si>
    <t>Balintawak</t>
  </si>
  <si>
    <t>DCT Holdings</t>
  </si>
  <si>
    <t>Freeway Motor Sales - Baliuag</t>
  </si>
  <si>
    <t>Mizukawa Motors Corp.</t>
  </si>
  <si>
    <t>Bulua</t>
  </si>
  <si>
    <t>Fast Autotoworld Philippines Corporation - Mindanao</t>
  </si>
  <si>
    <t>Freeway Motor Sales - Cabanatuan</t>
  </si>
  <si>
    <t>Alphine Motors Corporation</t>
  </si>
  <si>
    <t>Cebu South</t>
  </si>
  <si>
    <t>Fast Autotoworld Philippines Corporation - Visayas</t>
  </si>
  <si>
    <t>Commonwealth</t>
  </si>
  <si>
    <t>Peak Motors Phils. Incorporated</t>
  </si>
  <si>
    <t>SJ Legacy Motors, Inc.</t>
  </si>
  <si>
    <t>Dasmariñas</t>
  </si>
  <si>
    <t>Jabez Motors Corporation</t>
  </si>
  <si>
    <t>Gateway Motors Cebu, Inc.</t>
  </si>
  <si>
    <t>FB Harrison</t>
  </si>
  <si>
    <t>Mindanao Integrated Commercial Enterprises Inc.</t>
  </si>
  <si>
    <t>Gorordo</t>
  </si>
  <si>
    <t>North Alliance Motors Corporation</t>
  </si>
  <si>
    <t>Super Fast Motors Corporation</t>
  </si>
  <si>
    <t>Lucena</t>
  </si>
  <si>
    <t>Mactan</t>
  </si>
  <si>
    <t>Carworld Incorporated</t>
  </si>
  <si>
    <t>Grand Canyon Multi Holdings Inc.</t>
  </si>
  <si>
    <t>Marcos Highway</t>
  </si>
  <si>
    <t xml:space="preserve">Diamond Motors Corporation </t>
  </si>
  <si>
    <t>Matina</t>
  </si>
  <si>
    <t>Molino</t>
  </si>
  <si>
    <t>Negros</t>
  </si>
  <si>
    <t>Union Motors Corporation</t>
  </si>
  <si>
    <t>Maximotors Corporation</t>
  </si>
  <si>
    <t>Caleb Motors Corporation</t>
  </si>
  <si>
    <t>Quezon Avenue</t>
  </si>
  <si>
    <t>Amcar Automotive Corporation</t>
  </si>
  <si>
    <t>San Fernando</t>
  </si>
  <si>
    <t>Sucat</t>
  </si>
  <si>
    <t>MG Gateway South Corp.</t>
  </si>
  <si>
    <t>Evolander Motors Corporation</t>
  </si>
  <si>
    <t xml:space="preserve">Global Excellence Motors, Inc. </t>
  </si>
  <si>
    <t>Zamboanga Motors Incorporated</t>
  </si>
  <si>
    <t>A</t>
  </si>
  <si>
    <t>B</t>
  </si>
  <si>
    <t>Y</t>
  </si>
  <si>
    <t>N</t>
  </si>
  <si>
    <t>ASM</t>
  </si>
  <si>
    <t>Escalation</t>
  </si>
  <si>
    <t>Check accuracy of manpower list from latest submission to Network Training Department (NTD).</t>
  </si>
  <si>
    <t>CE CENTRAL</t>
  </si>
  <si>
    <t>Does Telemarketer follow standard appointment balance for the day?</t>
  </si>
  <si>
    <t>AS BRAND HEAD</t>
  </si>
  <si>
    <t>Findings</t>
  </si>
  <si>
    <t>Person Accountable</t>
  </si>
  <si>
    <t>Checker</t>
  </si>
  <si>
    <t>BOM Task</t>
  </si>
  <si>
    <t>GM</t>
  </si>
  <si>
    <t>hindi accurate ang list info</t>
  </si>
  <si>
    <t>no designated trainor</t>
  </si>
  <si>
    <t>AS HEAD</t>
  </si>
  <si>
    <t>pending accreditation</t>
  </si>
  <si>
    <t>appointment for the day excceeded maximum</t>
  </si>
  <si>
    <t>follow up action plan and monitor compliance</t>
  </si>
  <si>
    <t>CE SERVICE</t>
  </si>
  <si>
    <t>WORSHOP SUP</t>
  </si>
  <si>
    <t>JC</t>
  </si>
  <si>
    <t>Parts Supervisor</t>
  </si>
  <si>
    <t xml:space="preserve"> - Check if the Assigned Agent for Service Reception for the day is present and is talking to the prospective client/s.
 - Accessible table for Sales Agent assigned in the Service reception area.
 - follow up action plan and monitor compliance. </t>
  </si>
  <si>
    <t>Brand Head</t>
  </si>
  <si>
    <t xml:space="preserve"> - BOM to seek report from CE to check if there are any non-compliance
 - Follow up action plan and monitor compliance</t>
  </si>
  <si>
    <t xml:space="preserve">Checker must conduct random audit by talking to customers and asking if SA was able to inform them of the Status of their transaction
</t>
  </si>
  <si>
    <t xml:space="preserve"> - Sales team need to provide Sales Agent assigned in Service Reception Area
 - Sales Agents must be able to talk to at least 30% of the scheduled clients for the day.
 - CE must generate report of show up list at the start of the day to identify clients with 5 yrs and up aged vehicles.</t>
  </si>
  <si>
    <t xml:space="preserve"> - Check completeness of CIS
follow up action plan and monitor compliance</t>
  </si>
  <si>
    <t xml:space="preserve"> - Check Job Con Monitoring report
follow up action plan and monitor compliance</t>
  </si>
  <si>
    <t xml:space="preserve"> - Check casrwash control board if updated and correct
follow up action plan and monitor compliance</t>
  </si>
  <si>
    <t xml:space="preserve"> - Check casrwash control board if actual released time matched the promised released time
follow up action plan and monitor compliance</t>
  </si>
  <si>
    <t xml:space="preserve"> - Verify if actual clock-in or clock-out time is recorded
follow up action plan and monitor compliance</t>
  </si>
  <si>
    <t xml:space="preserve"> - Check job control WIP monitoring if updated and match the actual units in the workshop
follow up action plan and monitor compliance</t>
  </si>
  <si>
    <t xml:space="preserve"> - Physical Checking of pre-picked parts of corrent
follow up action plan and monitor compliance</t>
  </si>
  <si>
    <t xml:space="preserve"> - Ask workshop supervisor/ leadman if they were immediately informed if emergency parts already arrived in the dealership
follow up action plan and monitor compliance</t>
  </si>
  <si>
    <t xml:space="preserve"> - Check if all parts inside the warehouse are stored with bin locators
follow up action plan and monitor compliance</t>
  </si>
  <si>
    <t xml:space="preserve"> - Check if technician visualization tag if updated by leadman and if the details on the Tag is correct vs the actual job.
follow up action plan and monitor compliance</t>
  </si>
  <si>
    <r>
      <t xml:space="preserve"> - Gather Estimate Report from ASM to check. 
</t>
    </r>
    <r>
      <rPr>
        <sz val="16"/>
        <color rgb="FFFF0000"/>
        <rFont val="MMC OFFICE"/>
      </rPr>
      <t>(Do we need to allow access for BOM?)</t>
    </r>
    <r>
      <rPr>
        <sz val="16"/>
        <rFont val="MMC OFFICE"/>
      </rPr>
      <t xml:space="preserve"> 
follow up action plan and monitor compliance</t>
    </r>
  </si>
  <si>
    <t xml:space="preserve"> - Visual check of cleanliness in the workshop.
follow up action plan and monitor compliance</t>
  </si>
  <si>
    <t xml:space="preserve"> - Visual check
follow up action plan and monitor compliance</t>
  </si>
  <si>
    <t xml:space="preserve"> - Visual check and validate if ageing warranty are correct
follow up action plan and monitor compliance</t>
  </si>
  <si>
    <t xml:space="preserve"> - Visual check if scrapped parts is  properly stored in its designated area
follow up action plan and monitor compliance</t>
  </si>
  <si>
    <t xml:space="preserve"> - Visual check if dismantled parts is  properly stored in its designated area
follow up action plan and monitor compliance</t>
  </si>
  <si>
    <t>Service Reception c/o CE</t>
  </si>
  <si>
    <t>Employee Facilities c/o WS/Foreman/Leadman</t>
  </si>
  <si>
    <t>Meeting Room c/o ASM</t>
  </si>
  <si>
    <t>Mitsubishi Quick Service (confirm first if dealer is MQS accredited, if not, tag initially as "NA") c/o WS</t>
  </si>
  <si>
    <t>Customer's Lounge c/o CE</t>
  </si>
  <si>
    <t>Check with ASM and see if the form was accomplished properly.
follow up action plan and monitor compliance</t>
  </si>
  <si>
    <t xml:space="preserve"> - Confirm with ASM and Service Admin if they have updated access in the system (SeIP)
 - Check when did they last log-in in the system
 - follow up action plan and monitor compliance</t>
  </si>
  <si>
    <t xml:space="preserve"> - Check with SA and security Guard
follow up action plan and monitor compliance</t>
  </si>
  <si>
    <t xml:space="preserve"> - Verify if proper documentation was applied depending on the type of transaction (e.g QC Stamp, customer signatures etc)
follow up action plan and monitor compliance</t>
  </si>
  <si>
    <t xml:space="preserve"> - Check if replaced parts was returned to the customer. If not, verify if there is proper documentation for it.
follow up action plan and monitor compliance</t>
  </si>
  <si>
    <t xml:space="preserve"> - Check if quotations/estimate is signed by the customer
follow up action plan and monitor compliance</t>
  </si>
  <si>
    <t>Check if we can find way on how to verify if implmented or not</t>
  </si>
  <si>
    <t>Inform security to check if protective covers are reemoved in front of the customer</t>
  </si>
  <si>
    <t xml:space="preserve"> - check with security if covers are removed in the presence of customers.
follow up action plan and monitor compliance</t>
  </si>
  <si>
    <t xml:space="preserve">  - Check if bulletin boards matches the MAM and MOM templates
follow up action plan and monitor compliance</t>
  </si>
  <si>
    <t xml:space="preserve"> - Validate with CE if checklist is correctly accomplished
follow up action plan and monitor compliance</t>
  </si>
  <si>
    <t xml:space="preserve"> - Visual check bulleting board if updated
follow up action plan and monitor compliance</t>
  </si>
  <si>
    <t xml:space="preserve"> - Check MAM template filled-out form
follow up action plan and monitor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</si>
</sst>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6">
    <font>
      <sz val="11"/>
      <color theme="1"/>
      <name val="Calibri"/>
      <family val="2"/>
      <scheme val="minor"/>
    </font>
    <font>
      <sz val="11"/>
      <color theme="1"/>
      <name val="Calibri"/>
      <family val="2"/>
      <scheme val="minor"/>
    </font>
    <font>
      <sz val="10"/>
      <color theme="1"/>
      <name val="ヒラギノ角ゴ Std W4"/>
      <family val="2"/>
      <charset val="128"/>
    </font>
    <font>
      <sz val="12"/>
      <name val="Arial"/>
      <family val="2"/>
    </font>
    <font>
      <sz val="9"/>
      <color indexed="58"/>
      <name val="MMC OFFICE"/>
    </font>
    <font>
      <sz val="9"/>
      <color theme="1"/>
      <name val="MMC OFFICE"/>
    </font>
    <font>
      <sz val="9"/>
      <color rgb="FF003300"/>
      <name val="MMC OFFICE"/>
    </font>
    <font>
      <sz val="9"/>
      <name val="MMC OFFICE"/>
    </font>
    <font>
      <b/>
      <sz val="18"/>
      <color theme="1"/>
      <name val="MMC OFFICE"/>
    </font>
    <font>
      <sz val="11"/>
      <color theme="1"/>
      <name val="Calibri Light"/>
      <family val="2"/>
      <scheme val="major"/>
    </font>
    <font>
      <sz val="8"/>
      <name val="Calibri"/>
      <family val="2"/>
      <scheme val="minor"/>
    </font>
    <font>
      <i/>
      <u/>
      <sz val="16"/>
      <name val="MMC OFFICE"/>
    </font>
    <font>
      <b/>
      <i/>
      <u/>
      <sz val="16"/>
      <color theme="1"/>
      <name val="MMC OFFICE"/>
    </font>
    <font>
      <i/>
      <sz val="16"/>
      <name val="MMC OFFICE"/>
    </font>
    <font>
      <b/>
      <i/>
      <sz val="16"/>
      <color rgb="FF00B0F0"/>
      <name val="MMC OFFICE"/>
    </font>
    <font>
      <b/>
      <i/>
      <sz val="16"/>
      <color rgb="FFFF0000"/>
      <name val="MMC OFFICE"/>
    </font>
    <font>
      <b/>
      <i/>
      <u/>
      <sz val="16"/>
      <color rgb="FFFF0000"/>
      <name val="MMC OFFICE"/>
    </font>
    <font>
      <sz val="11"/>
      <color theme="1"/>
      <name val="MMC OFFICE"/>
    </font>
    <font>
      <b/>
      <sz val="11"/>
      <color theme="1"/>
      <name val="MMC OFFICE"/>
    </font>
    <font>
      <sz val="10"/>
      <color theme="1"/>
      <name val="MMC OFFICE"/>
    </font>
    <font>
      <b/>
      <sz val="10"/>
      <color theme="1"/>
      <name val="MMC OFFICE"/>
    </font>
    <font>
      <sz val="9"/>
      <color rgb="FFFF0000"/>
      <name val="MMC OFFICE"/>
    </font>
    <font>
      <i/>
      <sz val="10"/>
      <color theme="1"/>
      <name val="MMC OFFICE"/>
    </font>
    <font>
      <sz val="11"/>
      <color rgb="FF0000FF"/>
      <name val="MMC OFFICE"/>
    </font>
    <font>
      <sz val="16"/>
      <color theme="1"/>
      <name val="MMC OFFICE"/>
    </font>
    <font>
      <sz val="16"/>
      <name val="MMC OFFICE"/>
    </font>
    <font>
      <u/>
      <sz val="16"/>
      <name val="MMC OFFICE"/>
    </font>
    <font>
      <b/>
      <sz val="9"/>
      <color theme="1"/>
      <name val="MMC OFFICE"/>
    </font>
    <font>
      <sz val="8"/>
      <color theme="1"/>
      <name val="MMC OFFICE"/>
    </font>
    <font>
      <b/>
      <sz val="20"/>
      <color theme="1"/>
      <name val="MMC OFFICE"/>
    </font>
    <font>
      <sz val="20"/>
      <color theme="1"/>
      <name val="MMC OFFICE"/>
    </font>
    <font>
      <sz val="20"/>
      <name val="MMC OFFICE"/>
    </font>
    <font>
      <sz val="16"/>
      <color rgb="FF000000"/>
      <name val="MMC OFFICE"/>
    </font>
    <font>
      <sz val="10"/>
      <name val="MMC OFFICE"/>
    </font>
    <font>
      <u/>
      <sz val="10"/>
      <name val="MMC OFFICE"/>
    </font>
    <font>
      <sz val="16"/>
      <color rgb="FFFF0000"/>
      <name val="MMC OFFICE"/>
    </font>
  </fonts>
  <fills count="7">
    <fill>
      <patternFill patternType="none"/>
    </fill>
    <fill>
      <patternFill patternType="gray125"/>
    </fill>
    <fill>
      <patternFill patternType="solid">
        <fgColor rgb="FF00B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medium">
        <color indexed="64"/>
      </bottom>
      <diagonal/>
    </border>
    <border>
      <left style="hair">
        <color indexed="64"/>
      </left>
      <right style="medium">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s>
  <cellStyleXfs count="5">
    <xf numFmtId="0" fontId="0" fillId="0" borderId="0"/>
    <xf numFmtId="0" fontId="1" fillId="0" borderId="0"/>
    <xf numFmtId="0" fontId="2" fillId="0" borderId="0">
      <alignment vertical="center"/>
    </xf>
    <xf numFmtId="0" fontId="3" fillId="0" borderId="0"/>
    <xf numFmtId="9" fontId="1" fillId="0" borderId="0" applyFont="0" applyFill="0" applyBorder="0" applyAlignment="0" applyProtection="0"/>
  </cellStyleXfs>
  <cellXfs count="165">
    <xf numFmtId="0" fontId="0" fillId="0" borderId="0" xfId="0"/>
    <xf numFmtId="0" fontId="4" fillId="0" borderId="0" xfId="3" applyFont="1" applyAlignment="1" applyProtection="1">
      <alignment horizontal="center" vertical="center" wrapText="1"/>
      <protection locked="0"/>
    </xf>
    <xf numFmtId="0" fontId="5" fillId="0" borderId="0" xfId="3" applyFont="1" applyAlignment="1" applyProtection="1">
      <alignment horizontal="center" vertical="center"/>
      <protection locked="0"/>
    </xf>
    <xf numFmtId="0" fontId="4" fillId="0" borderId="0" xfId="3" applyFont="1" applyAlignment="1" applyProtection="1">
      <alignment horizontal="center" vertical="center"/>
      <protection locked="0"/>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3" applyFont="1" applyAlignment="1" applyProtection="1">
      <alignment horizontal="center" vertical="center"/>
      <protection locked="0"/>
    </xf>
    <xf numFmtId="164" fontId="4" fillId="0" borderId="0" xfId="3" applyNumberFormat="1" applyFont="1" applyAlignment="1" applyProtection="1">
      <alignment horizontal="center" vertical="center"/>
      <protection locked="0"/>
    </xf>
    <xf numFmtId="0" fontId="7" fillId="0" borderId="0" xfId="3" applyFont="1" applyAlignment="1" applyProtection="1">
      <alignment horizontal="center" vertical="center"/>
      <protection locked="0"/>
    </xf>
    <xf numFmtId="0" fontId="9" fillId="0" borderId="0" xfId="0" applyFont="1"/>
    <xf numFmtId="0" fontId="9" fillId="0" borderId="0" xfId="0" applyFont="1" applyAlignment="1">
      <alignment horizontal="center" vertical="center"/>
    </xf>
    <xf numFmtId="0" fontId="9" fillId="0" borderId="1" xfId="0" pivotButton="1" applyFont="1" applyBorder="1"/>
    <xf numFmtId="0" fontId="9" fillId="0" borderId="1" xfId="0" applyFont="1" applyBorder="1"/>
    <xf numFmtId="0" fontId="9" fillId="0" borderId="1" xfId="0" pivotButton="1" applyFont="1" applyBorder="1" applyAlignment="1">
      <alignment horizontal="center" vertical="center"/>
    </xf>
    <xf numFmtId="0" fontId="9" fillId="0" borderId="1" xfId="0"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49" fontId="17" fillId="0" borderId="8" xfId="0" applyNumberFormat="1" applyFont="1" applyBorder="1" applyAlignment="1">
      <alignment horizontal="center" vertical="center"/>
    </xf>
    <xf numFmtId="0" fontId="17" fillId="0" borderId="9" xfId="0" applyFont="1" applyBorder="1" applyAlignment="1">
      <alignment horizontal="center" vertical="center"/>
    </xf>
    <xf numFmtId="9" fontId="17" fillId="0" borderId="9" xfId="4" applyFont="1" applyBorder="1" applyAlignment="1">
      <alignment horizontal="center" vertical="center"/>
    </xf>
    <xf numFmtId="0" fontId="18" fillId="0" borderId="10" xfId="0" applyFont="1" applyBorder="1" applyAlignment="1">
      <alignment horizontal="center" vertical="center"/>
    </xf>
    <xf numFmtId="0" fontId="18" fillId="5" borderId="10" xfId="0" applyFont="1" applyFill="1" applyBorder="1" applyAlignment="1">
      <alignment horizontal="center" vertical="center"/>
    </xf>
    <xf numFmtId="0" fontId="17" fillId="0" borderId="0" xfId="0" applyFont="1" applyAlignment="1">
      <alignment horizontal="right" vertical="center"/>
    </xf>
    <xf numFmtId="0" fontId="17" fillId="0" borderId="0" xfId="0" applyFont="1" applyAlignment="1">
      <alignment vertical="center"/>
    </xf>
    <xf numFmtId="0" fontId="17" fillId="0" borderId="6" xfId="0" applyFont="1" applyBorder="1" applyAlignment="1">
      <alignment vertical="center"/>
    </xf>
    <xf numFmtId="0" fontId="18" fillId="0" borderId="9" xfId="0" applyFont="1" applyBorder="1" applyAlignment="1">
      <alignment horizontal="center" vertical="center"/>
    </xf>
    <xf numFmtId="1" fontId="18" fillId="0" borderId="11" xfId="0" applyNumberFormat="1" applyFont="1" applyBorder="1" applyAlignment="1">
      <alignment horizontal="center" vertical="center"/>
    </xf>
    <xf numFmtId="9" fontId="18" fillId="0" borderId="9" xfId="4" applyFont="1" applyBorder="1" applyAlignment="1">
      <alignment horizontal="center" vertical="center"/>
    </xf>
    <xf numFmtId="0" fontId="5" fillId="0" borderId="0" xfId="0" applyFont="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18" fillId="4" borderId="8" xfId="0" applyFont="1" applyFill="1" applyBorder="1" applyAlignment="1">
      <alignment horizontal="center" vertical="center"/>
    </xf>
    <xf numFmtId="0" fontId="18" fillId="4" borderId="9" xfId="0" applyFont="1" applyFill="1" applyBorder="1" applyAlignment="1">
      <alignment horizontal="center" vertical="center"/>
    </xf>
    <xf numFmtId="0" fontId="18" fillId="4" borderId="11" xfId="0" applyFont="1" applyFill="1" applyBorder="1" applyAlignment="1">
      <alignment horizontal="center" vertical="center"/>
    </xf>
    <xf numFmtId="0" fontId="18" fillId="4" borderId="10" xfId="0" applyFont="1" applyFill="1" applyBorder="1" applyAlignment="1">
      <alignment horizontal="center" vertical="center"/>
    </xf>
    <xf numFmtId="0" fontId="19" fillId="0" borderId="5" xfId="0" applyFont="1" applyBorder="1" applyAlignment="1">
      <alignment vertical="center"/>
    </xf>
    <xf numFmtId="2" fontId="19" fillId="0" borderId="0" xfId="0" applyNumberFormat="1" applyFont="1" applyAlignment="1">
      <alignment horizontal="center" vertical="center"/>
    </xf>
    <xf numFmtId="2" fontId="20" fillId="0" borderId="0" xfId="0" applyNumberFormat="1" applyFont="1" applyAlignment="1">
      <alignment horizontal="center" vertical="center"/>
    </xf>
    <xf numFmtId="0" fontId="20" fillId="0" borderId="6" xfId="0" applyFont="1" applyBorder="1" applyAlignment="1">
      <alignment horizontal="center" vertical="center"/>
    </xf>
    <xf numFmtId="0" fontId="20" fillId="4" borderId="8" xfId="0" applyFont="1" applyFill="1" applyBorder="1" applyAlignment="1">
      <alignment horizontal="center" vertical="center"/>
    </xf>
    <xf numFmtId="0" fontId="20" fillId="4" borderId="32" xfId="0" applyFont="1" applyFill="1" applyBorder="1" applyAlignment="1">
      <alignment horizontal="center" vertical="center"/>
    </xf>
    <xf numFmtId="0" fontId="20" fillId="4" borderId="11" xfId="0" applyFont="1" applyFill="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1" fontId="19" fillId="0" borderId="11"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33" xfId="0" applyFont="1" applyBorder="1" applyAlignment="1">
      <alignment horizontal="center" vertical="center"/>
    </xf>
    <xf numFmtId="9" fontId="21" fillId="0" borderId="0" xfId="4" applyFont="1" applyFill="1" applyBorder="1" applyAlignment="1" applyProtection="1">
      <alignment horizontal="center" vertical="center"/>
    </xf>
    <xf numFmtId="9" fontId="21" fillId="0" borderId="6" xfId="4" applyFont="1" applyFill="1" applyBorder="1" applyAlignment="1" applyProtection="1">
      <alignment horizontal="center" vertical="center"/>
    </xf>
    <xf numFmtId="0" fontId="20" fillId="0" borderId="5" xfId="0" applyFont="1" applyBorder="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applyAlignment="1">
      <alignment horizontal="center" vertical="center"/>
    </xf>
    <xf numFmtId="0" fontId="5" fillId="0" borderId="14"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horizontal="center" vertical="center"/>
    </xf>
    <xf numFmtId="0" fontId="24" fillId="0" borderId="0" xfId="0" applyFont="1"/>
    <xf numFmtId="0" fontId="24" fillId="0" borderId="0" xfId="0" applyFont="1" applyAlignment="1">
      <alignment horizontal="center" vertical="center" wrapText="1"/>
    </xf>
    <xf numFmtId="0" fontId="25" fillId="0" borderId="0" xfId="0" applyFont="1" applyAlignment="1">
      <alignment horizontal="center" vertical="center" wrapText="1"/>
    </xf>
    <xf numFmtId="0" fontId="24" fillId="0" borderId="0" xfId="0" applyFont="1" applyAlignment="1">
      <alignment vertical="center" wrapText="1"/>
    </xf>
    <xf numFmtId="0" fontId="24" fillId="0" borderId="0" xfId="0" applyFont="1" applyAlignment="1">
      <alignment horizontal="center" vertical="top" wrapText="1"/>
    </xf>
    <xf numFmtId="0" fontId="25" fillId="0" borderId="0" xfId="0" applyFont="1" applyAlignment="1">
      <alignment horizontal="center" vertical="top" wrapText="1"/>
    </xf>
    <xf numFmtId="0" fontId="25" fillId="0" borderId="0" xfId="0" applyFont="1" applyAlignment="1">
      <alignment horizontal="left" vertical="top" wrapText="1"/>
    </xf>
    <xf numFmtId="0" fontId="25" fillId="0" borderId="23" xfId="0" applyFont="1" applyBorder="1" applyAlignment="1">
      <alignment horizontal="left" vertical="top" wrapText="1"/>
    </xf>
    <xf numFmtId="0" fontId="25" fillId="0" borderId="31" xfId="0" applyFont="1" applyBorder="1" applyAlignment="1">
      <alignment horizontal="left" vertical="top" wrapText="1"/>
    </xf>
    <xf numFmtId="0" fontId="24" fillId="0" borderId="0" xfId="0" applyFont="1" applyAlignment="1">
      <alignment horizontal="left" vertical="top" wrapText="1"/>
    </xf>
    <xf numFmtId="0" fontId="25" fillId="0" borderId="0" xfId="0" applyFont="1"/>
    <xf numFmtId="0" fontId="27" fillId="4" borderId="19" xfId="1" applyFont="1" applyFill="1" applyBorder="1" applyAlignment="1">
      <alignment horizontal="left" vertical="center" wrapText="1"/>
    </xf>
    <xf numFmtId="0" fontId="28" fillId="0" borderId="0" xfId="0" applyFont="1" applyAlignment="1">
      <alignment horizontal="center" vertical="center"/>
    </xf>
    <xf numFmtId="0" fontId="5" fillId="4"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0" borderId="10" xfId="0" applyFont="1" applyBorder="1" applyAlignment="1">
      <alignment horizontal="left" vertical="center" wrapText="1"/>
    </xf>
    <xf numFmtId="0" fontId="28" fillId="2" borderId="0" xfId="0" applyFont="1" applyFill="1" applyAlignment="1">
      <alignment horizontal="center" vertical="center"/>
    </xf>
    <xf numFmtId="0" fontId="27" fillId="4" borderId="10" xfId="1" applyFont="1" applyFill="1" applyBorder="1" applyAlignment="1">
      <alignment horizontal="left" vertical="center" wrapText="1"/>
    </xf>
    <xf numFmtId="0" fontId="7" fillId="0" borderId="10" xfId="0" applyFont="1" applyBorder="1" applyAlignment="1">
      <alignment horizontal="left" vertical="center" wrapText="1"/>
    </xf>
    <xf numFmtId="0" fontId="5" fillId="0" borderId="10" xfId="0" applyFont="1" applyBorder="1" applyAlignment="1">
      <alignment vertical="center"/>
    </xf>
    <xf numFmtId="0" fontId="5" fillId="0" borderId="10" xfId="0" applyFont="1" applyBorder="1" applyAlignment="1">
      <alignment vertical="center" wrapText="1"/>
    </xf>
    <xf numFmtId="0" fontId="5" fillId="0" borderId="30" xfId="0" applyFont="1" applyBorder="1" applyAlignment="1">
      <alignment horizontal="left" vertical="center" wrapText="1"/>
    </xf>
    <xf numFmtId="0" fontId="5" fillId="4" borderId="20" xfId="0" applyFont="1" applyFill="1" applyBorder="1" applyAlignment="1">
      <alignment horizontal="center" vertical="center"/>
    </xf>
    <xf numFmtId="0" fontId="5" fillId="3" borderId="21" xfId="0" applyFont="1" applyFill="1" applyBorder="1" applyAlignment="1">
      <alignment horizontal="center" vertical="center"/>
    </xf>
    <xf numFmtId="0" fontId="7" fillId="0" borderId="22" xfId="0" applyFont="1" applyBorder="1" applyAlignment="1">
      <alignment vertical="center" wrapText="1"/>
    </xf>
    <xf numFmtId="0" fontId="29" fillId="4" borderId="19" xfId="0" applyFont="1" applyFill="1" applyBorder="1" applyAlignment="1">
      <alignment horizontal="center" vertical="center"/>
    </xf>
    <xf numFmtId="0" fontId="30" fillId="0" borderId="0" xfId="0" applyFont="1"/>
    <xf numFmtId="0" fontId="30" fillId="0" borderId="10" xfId="0" applyFont="1" applyBorder="1" applyAlignment="1">
      <alignment horizontal="right" vertical="center" wrapText="1"/>
    </xf>
    <xf numFmtId="0" fontId="30" fillId="3" borderId="26" xfId="2" applyFont="1" applyFill="1" applyBorder="1" applyAlignment="1">
      <alignment horizontal="center" vertical="center" wrapText="1"/>
    </xf>
    <xf numFmtId="0" fontId="30" fillId="0" borderId="0" xfId="0" applyFont="1" applyAlignment="1">
      <alignment vertical="center" wrapText="1"/>
    </xf>
    <xf numFmtId="0" fontId="30" fillId="3" borderId="13" xfId="2" applyFont="1" applyFill="1" applyBorder="1" applyAlignment="1">
      <alignment horizontal="center" vertical="center" wrapText="1"/>
    </xf>
    <xf numFmtId="0" fontId="30" fillId="3" borderId="12" xfId="2" applyFont="1" applyFill="1" applyBorder="1" applyAlignment="1">
      <alignment horizontal="center" vertical="center" wrapText="1"/>
    </xf>
    <xf numFmtId="0" fontId="17" fillId="0" borderId="0" xfId="0" applyFont="1" applyAlignment="1">
      <alignment vertical="center" wrapText="1"/>
    </xf>
    <xf numFmtId="0" fontId="31" fillId="0" borderId="10" xfId="1" applyFont="1" applyBorder="1" applyAlignment="1">
      <alignment horizontal="right" vertical="center" wrapText="1"/>
    </xf>
    <xf numFmtId="0" fontId="30" fillId="0" borderId="22" xfId="0" applyFont="1" applyBorder="1" applyAlignment="1">
      <alignment horizontal="right" vertical="center" wrapText="1"/>
    </xf>
    <xf numFmtId="0" fontId="30" fillId="3" borderId="29" xfId="2" applyFont="1" applyFill="1" applyBorder="1" applyAlignment="1">
      <alignment horizontal="center" vertical="center" wrapText="1"/>
    </xf>
    <xf numFmtId="0" fontId="30" fillId="3" borderId="27" xfId="2" applyFont="1" applyFill="1" applyBorder="1" applyAlignment="1">
      <alignment horizontal="center" vertical="center" wrapText="1"/>
    </xf>
    <xf numFmtId="0" fontId="17" fillId="0" borderId="0" xfId="0" applyFont="1"/>
    <xf numFmtId="0" fontId="32" fillId="0" borderId="0" xfId="0" applyFont="1" applyAlignment="1">
      <alignment horizontal="center" vertical="center" wrapText="1"/>
    </xf>
    <xf numFmtId="1" fontId="17" fillId="0" borderId="11" xfId="0" quotePrefix="1" applyNumberFormat="1" applyFont="1" applyBorder="1" applyAlignment="1">
      <alignment horizontal="center" vertical="center"/>
    </xf>
    <xf numFmtId="0" fontId="33" fillId="0" borderId="0" xfId="0" applyFont="1" applyAlignment="1">
      <alignment horizontal="left" vertical="top" wrapText="1"/>
    </xf>
    <xf numFmtId="0" fontId="29" fillId="6" borderId="28" xfId="0" applyFont="1" applyFill="1" applyBorder="1" applyAlignment="1">
      <alignment horizontal="center" vertical="center"/>
    </xf>
    <xf numFmtId="0" fontId="29" fillId="6" borderId="24" xfId="0" applyFont="1" applyFill="1" applyBorder="1" applyAlignment="1">
      <alignment horizontal="center" vertical="center"/>
    </xf>
    <xf numFmtId="0" fontId="29" fillId="6" borderId="25" xfId="0" applyFont="1" applyFill="1" applyBorder="1" applyAlignment="1">
      <alignment horizontal="center" vertical="center"/>
    </xf>
    <xf numFmtId="0" fontId="17" fillId="6" borderId="7" xfId="0" applyFont="1" applyFill="1" applyBorder="1" applyAlignment="1" applyProtection="1">
      <alignment vertical="center"/>
      <protection locked="0"/>
    </xf>
    <xf numFmtId="0" fontId="25" fillId="0" borderId="0" xfId="0" applyFont="1" applyAlignment="1">
      <alignment horizontal="left" vertical="center"/>
    </xf>
    <xf numFmtId="0" fontId="25" fillId="0" borderId="0" xfId="0" applyFont="1" applyAlignment="1">
      <alignment horizontal="left" vertical="center" wrapText="1"/>
    </xf>
    <xf numFmtId="0" fontId="25" fillId="0" borderId="23" xfId="0" applyFont="1" applyBorder="1" applyAlignment="1">
      <alignment horizontal="left" vertical="center" wrapText="1"/>
    </xf>
    <xf numFmtId="0" fontId="25" fillId="0" borderId="31" xfId="0" applyFont="1" applyBorder="1" applyAlignment="1">
      <alignment horizontal="left" vertical="center" wrapText="1"/>
    </xf>
    <xf numFmtId="0" fontId="33" fillId="0" borderId="0" xfId="0" applyFont="1" applyAlignment="1">
      <alignment horizontal="left" vertical="center" wrapText="1"/>
    </xf>
    <xf numFmtId="0" fontId="11" fillId="0" borderId="0" xfId="0" applyFont="1" applyAlignment="1">
      <alignment vertical="center"/>
    </xf>
    <xf numFmtId="0" fontId="24" fillId="0" borderId="0" xfId="0" applyFont="1" applyAlignment="1">
      <alignment horizontal="left" vertical="center"/>
    </xf>
    <xf numFmtId="0" fontId="13" fillId="0" borderId="0" xfId="0" applyFont="1" applyAlignment="1">
      <alignment vertical="center"/>
    </xf>
    <xf numFmtId="0" fontId="25" fillId="0" borderId="0" xfId="0" applyFont="1" applyAlignment="1">
      <alignment horizontal="center" vertical="center"/>
    </xf>
    <xf numFmtId="0" fontId="33" fillId="0" borderId="0" xfId="0" applyFont="1" applyAlignment="1">
      <alignment horizontal="center" vertical="center" wrapText="1"/>
    </xf>
    <xf numFmtId="0" fontId="11" fillId="0" borderId="0" xfId="0" applyFont="1" applyAlignment="1">
      <alignment horizontal="center" vertical="center"/>
    </xf>
    <xf numFmtId="0" fontId="13" fillId="0" borderId="0" xfId="0" applyFont="1" applyAlignment="1">
      <alignment horizontal="center" vertical="center"/>
    </xf>
    <xf numFmtId="9" fontId="19" fillId="0" borderId="11" xfId="4" applyFont="1" applyBorder="1" applyAlignment="1">
      <alignment horizontal="center" vertical="center"/>
    </xf>
    <xf numFmtId="9" fontId="19" fillId="0" borderId="13" xfId="4" applyFont="1" applyBorder="1" applyAlignment="1">
      <alignment horizontal="center" vertical="center"/>
    </xf>
    <xf numFmtId="0" fontId="19" fillId="0" borderId="11" xfId="0" applyFont="1" applyBorder="1" applyAlignment="1">
      <alignment horizontal="left" vertical="center" wrapText="1"/>
    </xf>
    <xf numFmtId="0" fontId="19" fillId="0" borderId="23" xfId="0" applyFont="1" applyBorder="1" applyAlignment="1">
      <alignment horizontal="left" vertical="center" wrapText="1"/>
    </xf>
    <xf numFmtId="0" fontId="18" fillId="0" borderId="5" xfId="0" applyFont="1" applyBorder="1" applyAlignment="1">
      <alignment horizontal="left" vertical="center"/>
    </xf>
    <xf numFmtId="0" fontId="18" fillId="0" borderId="0" xfId="0" applyFont="1" applyAlignment="1">
      <alignment horizontal="left" vertical="center"/>
    </xf>
    <xf numFmtId="0" fontId="18" fillId="0" borderId="6"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17" fillId="3" borderId="1" xfId="0" applyFont="1" applyFill="1" applyBorder="1" applyAlignment="1" applyProtection="1">
      <alignment vertical="center"/>
      <protection locked="0"/>
    </xf>
    <xf numFmtId="0" fontId="17" fillId="6" borderId="1" xfId="0" applyFont="1" applyFill="1" applyBorder="1" applyAlignment="1" applyProtection="1">
      <alignment vertical="center"/>
      <protection locked="0"/>
    </xf>
    <xf numFmtId="0" fontId="20" fillId="0" borderId="5" xfId="0" applyFont="1" applyBorder="1" applyAlignment="1">
      <alignment horizontal="left" vertical="center"/>
    </xf>
    <xf numFmtId="0" fontId="20" fillId="0" borderId="0" xfId="0" applyFont="1" applyAlignment="1">
      <alignment horizontal="left" vertical="center"/>
    </xf>
    <xf numFmtId="0" fontId="20" fillId="0" borderId="6" xfId="0" applyFont="1" applyBorder="1" applyAlignment="1">
      <alignment horizontal="left" vertical="center"/>
    </xf>
    <xf numFmtId="0" fontId="20" fillId="4" borderId="9" xfId="0" applyFont="1" applyFill="1" applyBorder="1" applyAlignment="1">
      <alignment horizontal="center" vertical="center"/>
    </xf>
    <xf numFmtId="0" fontId="20" fillId="4" borderId="11" xfId="0" applyFont="1" applyFill="1" applyBorder="1" applyAlignment="1">
      <alignment horizontal="center" vertical="center"/>
    </xf>
    <xf numFmtId="0" fontId="20" fillId="4" borderId="13" xfId="0" applyFont="1" applyFill="1" applyBorder="1" applyAlignment="1">
      <alignment horizontal="center" vertical="center"/>
    </xf>
    <xf numFmtId="0" fontId="18" fillId="4" borderId="9" xfId="0" applyFont="1" applyFill="1" applyBorder="1" applyAlignment="1">
      <alignment horizontal="center" vertical="center"/>
    </xf>
    <xf numFmtId="0" fontId="17" fillId="0" borderId="9" xfId="0" applyFont="1" applyBorder="1" applyAlignment="1">
      <alignment horizontal="center" vertical="center"/>
    </xf>
    <xf numFmtId="2" fontId="18" fillId="0" borderId="8" xfId="0" applyNumberFormat="1" applyFont="1" applyBorder="1" applyAlignment="1">
      <alignment horizontal="right" vertical="center"/>
    </xf>
    <xf numFmtId="2" fontId="18" fillId="0" borderId="9" xfId="0" applyNumberFormat="1" applyFont="1" applyBorder="1" applyAlignment="1">
      <alignment horizontal="right"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22" fillId="0" borderId="3" xfId="0" applyFont="1" applyBorder="1" applyAlignment="1">
      <alignment horizontal="right" vertical="center"/>
    </xf>
    <xf numFmtId="0" fontId="27" fillId="6" borderId="17" xfId="1" applyFont="1" applyFill="1" applyBorder="1" applyAlignment="1">
      <alignment horizontal="center" vertical="center"/>
    </xf>
    <xf numFmtId="0" fontId="27" fillId="6" borderId="18" xfId="1" applyFont="1" applyFill="1" applyBorder="1" applyAlignment="1">
      <alignment horizontal="center" vertical="center"/>
    </xf>
    <xf numFmtId="0" fontId="28" fillId="2" borderId="0" xfId="0" applyFont="1" applyFill="1" applyAlignment="1">
      <alignment horizontal="center" vertical="center"/>
    </xf>
    <xf numFmtId="0" fontId="27" fillId="6" borderId="8" xfId="1" applyFont="1" applyFill="1" applyBorder="1" applyAlignment="1">
      <alignment horizontal="center" vertical="center"/>
    </xf>
    <xf numFmtId="0" fontId="27" fillId="6" borderId="9" xfId="1" applyFont="1" applyFill="1" applyBorder="1" applyAlignment="1">
      <alignment horizontal="center" vertical="center"/>
    </xf>
    <xf numFmtId="0" fontId="29" fillId="4" borderId="17"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8" xfId="0" applyFont="1" applyFill="1" applyBorder="1" applyAlignment="1">
      <alignment horizontal="center" vertical="center"/>
    </xf>
    <xf numFmtId="0" fontId="29" fillId="4" borderId="9" xfId="0" applyFont="1" applyFill="1" applyBorder="1" applyAlignment="1">
      <alignment horizontal="center" vertical="center"/>
    </xf>
    <xf numFmtId="0" fontId="30" fillId="0" borderId="8"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9" xfId="0" applyFont="1" applyBorder="1" applyAlignment="1">
      <alignment horizontal="left" vertical="center" wrapText="1"/>
    </xf>
    <xf numFmtId="0" fontId="30" fillId="0" borderId="21" xfId="0" applyFont="1" applyBorder="1" applyAlignment="1">
      <alignment horizontal="left" vertical="center" wrapText="1"/>
    </xf>
  </cellXfs>
  <cellStyles count="5">
    <cellStyle name="Normal" xfId="0" builtinId="0"/>
    <cellStyle name="Normal 2 2" xfId="1" xr:uid="{00000000-0005-0000-0000-000001000000}"/>
    <cellStyle name="Normal_dwpr2rev2Jan2000" xfId="3" xr:uid="{00000000-0005-0000-0000-000002000000}"/>
    <cellStyle name="Percent" xfId="4" builtinId="5"/>
    <cellStyle name="標準 2" xfId="2" xr:uid="{00000000-0005-0000-0000-000004000000}"/>
  </cellStyles>
  <dxfs count="98">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b/>
        <i val="0"/>
        <color rgb="FFC00000"/>
      </font>
      <fill>
        <patternFill>
          <bgColor rgb="FFFFC7CE"/>
        </patternFill>
      </fill>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i val="0"/>
        <strike val="0"/>
        <condense val="0"/>
        <extend val="0"/>
        <outline val="0"/>
        <shadow val="0"/>
        <u val="none"/>
        <vertAlign val="baseline"/>
        <sz val="16"/>
        <color theme="1"/>
        <name val="MMC OFFICE"/>
        <scheme val="none"/>
      </font>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top"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top" textRotation="0" wrapText="1" indent="0" justifyLastLine="0" shrinkToFit="0" readingOrder="0"/>
    </dxf>
    <dxf>
      <font>
        <strike val="0"/>
        <outline val="0"/>
        <shadow val="0"/>
        <vertAlign val="baseline"/>
        <sz val="16"/>
        <name val="MMC OFFICE"/>
        <scheme val="none"/>
      </font>
    </dxf>
    <dxf>
      <font>
        <strike val="0"/>
        <outline val="0"/>
        <shadow val="0"/>
        <vertAlign val="baseline"/>
        <sz val="16"/>
        <color rgb="FF000000"/>
        <name val="MMC OFFICE"/>
        <scheme val="none"/>
      </font>
      <alignment vertical="center" wrapText="1"/>
    </dxf>
    <dxf>
      <font>
        <strike val="0"/>
        <outline val="0"/>
        <shadow val="0"/>
        <vertAlign val="baseline"/>
        <sz val="16"/>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name val="MMC OFFICE"/>
        <scheme val="none"/>
      </font>
      <alignment vertical="center" textRotation="0" indent="0" justifyLastLine="0" shrinkToFit="0" readingOrder="0"/>
    </dxf>
    <dxf>
      <font>
        <strike val="0"/>
        <outline val="0"/>
        <shadow val="0"/>
        <vertAlign val="baseline"/>
        <sz val="16"/>
        <color rgb="FF000000"/>
        <name val="MMC OFFICE"/>
        <scheme val="none"/>
      </font>
      <alignment vertical="center" textRotation="0" wrapText="1" indent="0" justifyLastLine="0" shrinkToFit="0" readingOrder="0"/>
    </dxf>
    <dxf>
      <font>
        <strike val="0"/>
        <outline val="0"/>
        <shadow val="0"/>
        <vertAlign val="baseline"/>
        <sz val="16"/>
        <name val="MMC OFFICE"/>
        <scheme val="none"/>
      </font>
      <alignment horizontal="center" vertical="center" textRotation="0" wrapText="1" indent="0" justifyLastLine="0" shrinkToFit="0" readingOrder="0"/>
    </dxf>
  </dxfs>
  <tableStyles count="2" defaultTableStyle="TableStyleMedium2" defaultPivotStyle="PivotStyleLight16">
    <tableStyle name="Invisible" pivot="0" table="0" count="0" xr9:uid="{98E82CB8-6BFA-4E10-8661-FDED0FB24121}"/>
    <tableStyle name="Table Style 1" pivot="0" count="0" xr9:uid="{00000000-0011-0000-FFFF-FFFF00000000}"/>
  </tableStyles>
  <colors>
    <mruColors>
      <color rgb="FF006100"/>
      <color rgb="FFFFC7CE"/>
      <color rgb="FFC6EFCE"/>
      <color rgb="FF05B347"/>
      <color rgb="FFFFCCCC"/>
      <color rgb="FF8A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haredStrings" Target="sharedStrings.xml"/><Relationship Id="rId25"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customXml" Target="../customXml/item3.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2.xml"/><Relationship Id="rId23"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 Id="rId22"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radarChart>
        <c:radarStyle val="marker"/>
        <c:varyColors val="0"/>
        <c:ser>
          <c:idx val="0"/>
          <c:order val="0"/>
          <c:tx>
            <c:strRef>
              <c:f>Summary!$B$21</c:f>
              <c:strCache>
                <c:ptCount val="1"/>
                <c:pt idx="0">
                  <c:v>Personalized Customer Reception</c:v>
                </c:pt>
              </c:strCache>
            </c:strRef>
          </c:tx>
          <c:spPr>
            <a:ln w="28575" cap="rnd">
              <a:solidFill>
                <a:schemeClr val="accent5"/>
              </a:solidFill>
              <a:round/>
            </a:ln>
            <a:effectLst/>
          </c:spPr>
          <c:marker>
            <c:symbol val="none"/>
          </c:marker>
          <c:cat>
            <c:strRef>
              <c:f>Summary!$B$16:$B$30</c:f>
              <c:strCache>
                <c:ptCount val="15"/>
                <c:pt idx="0">
                  <c:v>Facilities</c:v>
                </c:pt>
                <c:pt idx="1">
                  <c:v>Systems</c:v>
                </c:pt>
                <c:pt idx="2">
                  <c:v>Manpower</c:v>
                </c:pt>
                <c:pt idx="3">
                  <c:v>Pro-active Customer Contact</c:v>
                </c:pt>
                <c:pt idx="4">
                  <c:v>Customer Appointment</c:v>
                </c:pt>
                <c:pt idx="5">
                  <c:v>Personalized Customer Reception</c:v>
                </c:pt>
                <c:pt idx="6">
                  <c:v>Menu Pricing / Commitment of Price and Time Delivery</c:v>
                </c:pt>
                <c:pt idx="7">
                  <c:v>Customer Care and Communication</c:v>
                </c:pt>
                <c:pt idx="8">
                  <c:v>Workshop Scheduling</c:v>
                </c:pt>
                <c:pt idx="9">
                  <c:v>Advance Info to Parts Store</c:v>
                </c:pt>
                <c:pt idx="10">
                  <c:v>Repair Order Processing and 
Quality of Work</c:v>
                </c:pt>
                <c:pt idx="11">
                  <c:v>Repair Order Completion 
and Invoicing</c:v>
                </c:pt>
                <c:pt idx="12">
                  <c:v>Customer Information  
and Car Return</c:v>
                </c:pt>
                <c:pt idx="13">
                  <c:v>Customer After Service Contact</c:v>
                </c:pt>
                <c:pt idx="14">
                  <c:v>Concern Prevention 
and Resolution</c:v>
                </c:pt>
              </c:strCache>
            </c:strRef>
          </c:cat>
          <c:val>
            <c:numRef>
              <c:f>Summary!$F$16:$F$30</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9FB4-4E29-91B1-AA91FDD5578B}"/>
            </c:ext>
          </c:extLst>
        </c:ser>
        <c:dLbls>
          <c:showLegendKey val="0"/>
          <c:showVal val="0"/>
          <c:showCatName val="0"/>
          <c:showSerName val="0"/>
          <c:showPercent val="0"/>
          <c:showBubbleSize val="0"/>
        </c:dLbls>
        <c:axId val="354472975"/>
        <c:axId val="354477551"/>
      </c:radarChart>
      <c:catAx>
        <c:axId val="354472975"/>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7551"/>
        <c:crosses val="autoZero"/>
        <c:auto val="1"/>
        <c:lblAlgn val="ctr"/>
        <c:lblOffset val="100"/>
        <c:noMultiLvlLbl val="0"/>
      </c:catAx>
      <c:valAx>
        <c:axId val="35447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1"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2975"/>
        <c:crosses val="autoZero"/>
        <c:crossBetween val="between"/>
        <c:min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1"/>
          <c:order val="1"/>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MC OFFICE" panose="000005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Summary!$B$9:$B$11</c:f>
              <c:strCache>
                <c:ptCount val="3"/>
                <c:pt idx="0">
                  <c:v>Basic</c:v>
                </c:pt>
                <c:pt idx="1">
                  <c:v>Standard</c:v>
                </c:pt>
                <c:pt idx="2">
                  <c:v>Beyond</c:v>
                </c:pt>
              </c:strCache>
            </c:strRef>
          </c:cat>
          <c:val>
            <c:numRef>
              <c:f>Summary!$F$9:$F$11</c:f>
              <c:numCache>
                <c:formatCode>0%</c:formatCode>
                <c:ptCount val="3"/>
                <c:pt idx="0">
                  <c:v>0</c:v>
                </c:pt>
                <c:pt idx="1">
                  <c:v>0</c:v>
                </c:pt>
                <c:pt idx="2">
                  <c:v>0</c:v>
                </c:pt>
              </c:numCache>
            </c:numRef>
          </c:val>
          <c:extLst>
            <c:ext xmlns:c16="http://schemas.microsoft.com/office/drawing/2014/chart" uri="{C3380CC4-5D6E-409C-BE32-E72D297353CC}">
              <c16:uniqueId val="{00000001-CA96-42F7-A9F5-843C5903F755}"/>
            </c:ext>
          </c:extLst>
        </c:ser>
        <c:dLbls>
          <c:showLegendKey val="0"/>
          <c:showVal val="0"/>
          <c:showCatName val="0"/>
          <c:showSerName val="0"/>
          <c:showPercent val="0"/>
          <c:showBubbleSize val="0"/>
        </c:dLbls>
        <c:gapWidth val="75"/>
        <c:axId val="664519951"/>
        <c:axId val="664518511"/>
        <c:extLst>
          <c:ext xmlns:c15="http://schemas.microsoft.com/office/drawing/2012/chart" uri="{02D57815-91ED-43cb-92C2-25804820EDAC}">
            <c15:filteredBarSeries>
              <c15:ser>
                <c:idx val="0"/>
                <c:order val="0"/>
                <c:spPr>
                  <a:solidFill>
                    <a:schemeClr val="accent5">
                      <a:shade val="76000"/>
                    </a:schemeClr>
                  </a:solidFill>
                  <a:ln>
                    <a:noFill/>
                  </a:ln>
                  <a:effectLst/>
                </c:spPr>
                <c:invertIfNegative val="0"/>
                <c:cat>
                  <c:strRef>
                    <c:extLst>
                      <c:ext uri="{02D57815-91ED-43cb-92C2-25804820EDAC}">
                        <c15:formulaRef>
                          <c15:sqref>Summary!$B$9:$B$11</c15:sqref>
                        </c15:formulaRef>
                      </c:ext>
                    </c:extLst>
                    <c:strCache>
                      <c:ptCount val="3"/>
                      <c:pt idx="0">
                        <c:v>Basic</c:v>
                      </c:pt>
                      <c:pt idx="1">
                        <c:v>Standard</c:v>
                      </c:pt>
                      <c:pt idx="2">
                        <c:v>Beyond</c:v>
                      </c:pt>
                    </c:strCache>
                  </c:strRef>
                </c:cat>
                <c:val>
                  <c:numRef>
                    <c:extLst>
                      <c:ext uri="{02D57815-91ED-43cb-92C2-25804820EDAC}">
                        <c15:formulaRef>
                          <c15:sqref>Summary!$C$9:$C$11</c15:sqref>
                        </c15:formulaRef>
                      </c:ext>
                    </c:extLst>
                    <c:numCache>
                      <c:formatCode>General</c:formatCode>
                      <c:ptCount val="3"/>
                    </c:numCache>
                  </c:numRef>
                </c:val>
                <c:extLst>
                  <c:ext xmlns:c16="http://schemas.microsoft.com/office/drawing/2014/chart" uri="{C3380CC4-5D6E-409C-BE32-E72D297353CC}">
                    <c16:uniqueId val="{00000000-CA96-42F7-A9F5-843C5903F755}"/>
                  </c:ext>
                </c:extLst>
              </c15:ser>
            </c15:filteredBarSeries>
          </c:ext>
        </c:extLst>
      </c:barChart>
      <c:catAx>
        <c:axId val="6645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8511"/>
        <c:crosses val="autoZero"/>
        <c:auto val="1"/>
        <c:lblAlgn val="ctr"/>
        <c:lblOffset val="100"/>
        <c:noMultiLvlLbl val="0"/>
      </c:catAx>
      <c:valAx>
        <c:axId val="6645185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latin typeface="MMC OFFICE"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93821</xdr:colOff>
      <xdr:row>0</xdr:row>
      <xdr:rowOff>133872</xdr:rowOff>
    </xdr:from>
    <xdr:to>
      <xdr:col>1</xdr:col>
      <xdr:colOff>284379</xdr:colOff>
      <xdr:row>4</xdr:row>
      <xdr:rowOff>68338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21" y="133872"/>
          <a:ext cx="649594" cy="687285"/>
        </a:xfrm>
        <a:prstGeom prst="rect">
          <a:avLst/>
        </a:prstGeom>
      </xdr:spPr>
    </xdr:pic>
    <xdr:clientData/>
  </xdr:twoCellAnchor>
  <xdr:twoCellAnchor>
    <xdr:from>
      <xdr:col>4</xdr:col>
      <xdr:colOff>381000</xdr:colOff>
      <xdr:row>31</xdr:row>
      <xdr:rowOff>100620</xdr:rowOff>
    </xdr:from>
    <xdr:to>
      <xdr:col>6</xdr:col>
      <xdr:colOff>1315012</xdr:colOff>
      <xdr:row>44</xdr:row>
      <xdr:rowOff>99724</xdr:rowOff>
    </xdr:to>
    <xdr:graphicFrame macro="">
      <xdr:nvGraphicFramePr>
        <xdr:cNvPr id="3" name="Chart 2">
          <a:extLst>
            <a:ext uri="{FF2B5EF4-FFF2-40B4-BE49-F238E27FC236}">
              <a16:creationId xmlns:a16="http://schemas.microsoft.com/office/drawing/2014/main" id="{92D41257-87D3-45F1-B395-FB47AFD78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31</xdr:row>
      <xdr:rowOff>93429</xdr:rowOff>
    </xdr:from>
    <xdr:to>
      <xdr:col>4</xdr:col>
      <xdr:colOff>304800</xdr:colOff>
      <xdr:row>44</xdr:row>
      <xdr:rowOff>101049</xdr:rowOff>
    </xdr:to>
    <xdr:graphicFrame macro="">
      <xdr:nvGraphicFramePr>
        <xdr:cNvPr id="5" name="Chart 4">
          <a:extLst>
            <a:ext uri="{FF2B5EF4-FFF2-40B4-BE49-F238E27FC236}">
              <a16:creationId xmlns:a16="http://schemas.microsoft.com/office/drawing/2014/main" id="{EAF44EC8-4DD5-C44F-802F-BDD33823A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97972</xdr:colOff>
      <xdr:row>46</xdr:row>
      <xdr:rowOff>10887</xdr:rowOff>
    </xdr:from>
    <xdr:to>
      <xdr:col>2</xdr:col>
      <xdr:colOff>763411</xdr:colOff>
      <xdr:row>51</xdr:row>
      <xdr:rowOff>64307</xdr:rowOff>
    </xdr:to>
    <xdr:sp macro="" textlink="">
      <xdr:nvSpPr>
        <xdr:cNvPr id="6" name="TextBox 5">
          <a:extLst>
            <a:ext uri="{FF2B5EF4-FFF2-40B4-BE49-F238E27FC236}">
              <a16:creationId xmlns:a16="http://schemas.microsoft.com/office/drawing/2014/main" id="{2F85E854-B8C5-402F-A86E-4C7327D788E9}"/>
            </a:ext>
          </a:extLst>
        </xdr:cNvPr>
        <xdr:cNvSpPr txBox="1"/>
      </xdr:nvSpPr>
      <xdr:spPr>
        <a:xfrm>
          <a:off x="97972" y="11506201"/>
          <a:ext cx="2592210" cy="92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Prepared by:</a:t>
          </a:r>
        </a:p>
        <a:p>
          <a:endParaRPr lang="en-US" sz="1050" b="1">
            <a:latin typeface="MMC OFFICE" panose="00000500000000000000" pitchFamily="2" charset="0"/>
          </a:endParaRPr>
        </a:p>
        <a:p>
          <a:r>
            <a:rPr lang="en-US" sz="1050">
              <a:latin typeface="MMC OFFICE" panose="00000500000000000000" pitchFamily="2" charset="0"/>
            </a:rPr>
            <a:t>Auditor</a:t>
          </a:r>
          <a:r>
            <a:rPr lang="en-US" sz="1050" baseline="0">
              <a:latin typeface="MMC OFFICE" panose="00000500000000000000" pitchFamily="2" charset="0"/>
            </a:rPr>
            <a:t>: </a:t>
          </a:r>
        </a:p>
      </xdr:txBody>
    </xdr:sp>
    <xdr:clientData/>
  </xdr:twoCellAnchor>
  <xdr:twoCellAnchor>
    <xdr:from>
      <xdr:col>2</xdr:col>
      <xdr:colOff>1273630</xdr:colOff>
      <xdr:row>45</xdr:row>
      <xdr:rowOff>163286</xdr:rowOff>
    </xdr:from>
    <xdr:to>
      <xdr:col>5</xdr:col>
      <xdr:colOff>55084</xdr:colOff>
      <xdr:row>51</xdr:row>
      <xdr:rowOff>42535</xdr:rowOff>
    </xdr:to>
    <xdr:sp macro="" textlink="">
      <xdr:nvSpPr>
        <xdr:cNvPr id="7" name="TextBox 6">
          <a:extLst>
            <a:ext uri="{FF2B5EF4-FFF2-40B4-BE49-F238E27FC236}">
              <a16:creationId xmlns:a16="http://schemas.microsoft.com/office/drawing/2014/main" id="{3702CFE3-90D7-463D-A1D5-94C9DB58424B}"/>
            </a:ext>
          </a:extLst>
        </xdr:cNvPr>
        <xdr:cNvSpPr txBox="1"/>
      </xdr:nvSpPr>
      <xdr:spPr>
        <a:xfrm>
          <a:off x="3118955" y="11473937"/>
          <a:ext cx="3078033"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Approved by:</a:t>
          </a:r>
        </a:p>
        <a:p>
          <a:endParaRPr lang="en-US" sz="1050">
            <a:latin typeface="MMC OFFICE" panose="00000500000000000000" pitchFamily="2" charset="0"/>
          </a:endParaRPr>
        </a:p>
        <a:p>
          <a:r>
            <a:rPr lang="en-US" sz="1050">
              <a:latin typeface="MMC OFFICE" panose="00000500000000000000" pitchFamily="2" charset="0"/>
            </a:rPr>
            <a:t>Service Manager</a:t>
          </a:r>
          <a:r>
            <a:rPr lang="en-US" sz="1050" baseline="0">
              <a:latin typeface="MMC OFFICE" panose="00000500000000000000" pitchFamily="2" charset="0"/>
            </a:rPr>
            <a:t>: </a:t>
          </a:r>
          <a:endParaRPr lang="en-US" sz="1100" baseline="0">
            <a:latin typeface="MMC OFFICE" panose="00000500000000000000" pitchFamily="2" charset="0"/>
          </a:endParaRPr>
        </a:p>
        <a:p>
          <a:endParaRPr lang="en-US" sz="1100" baseline="0">
            <a:latin typeface="MMC OFFICE" panose="00000500000000000000" pitchFamily="2" charset="0"/>
          </a:endParaRPr>
        </a:p>
        <a:p>
          <a:r>
            <a:rPr lang="en-US" sz="1100" baseline="0">
              <a:latin typeface="MMC OFFICE" panose="00000500000000000000" pitchFamily="2" charset="0"/>
            </a:rPr>
            <a:t>Parts Manager:</a:t>
          </a:r>
          <a:endParaRPr lang="en-US" sz="1050" baseline="0">
            <a:latin typeface="MMC OFFICE" panose="00000500000000000000" pitchFamily="2" charset="0"/>
          </a:endParaRPr>
        </a:p>
      </xdr:txBody>
    </xdr:sp>
    <xdr:clientData/>
  </xdr:twoCellAnchor>
  <xdr:twoCellAnchor>
    <xdr:from>
      <xdr:col>5</xdr:col>
      <xdr:colOff>174433</xdr:colOff>
      <xdr:row>45</xdr:row>
      <xdr:rowOff>158173</xdr:rowOff>
    </xdr:from>
    <xdr:to>
      <xdr:col>6</xdr:col>
      <xdr:colOff>1318581</xdr:colOff>
      <xdr:row>51</xdr:row>
      <xdr:rowOff>37422</xdr:rowOff>
    </xdr:to>
    <xdr:sp macro="" textlink="">
      <xdr:nvSpPr>
        <xdr:cNvPr id="8" name="TextBox 7">
          <a:extLst>
            <a:ext uri="{FF2B5EF4-FFF2-40B4-BE49-F238E27FC236}">
              <a16:creationId xmlns:a16="http://schemas.microsoft.com/office/drawing/2014/main" id="{5698C57B-50DA-4C3A-8CFF-C10B08A393B4}"/>
            </a:ext>
          </a:extLst>
        </xdr:cNvPr>
        <xdr:cNvSpPr txBox="1"/>
      </xdr:nvSpPr>
      <xdr:spPr>
        <a:xfrm>
          <a:off x="6316337" y="11468824"/>
          <a:ext cx="2585521"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Conforme: </a:t>
          </a:r>
        </a:p>
        <a:p>
          <a:endParaRPr lang="en-US" sz="1050" b="1">
            <a:latin typeface="MMC OFFICE" panose="00000500000000000000" pitchFamily="2" charset="0"/>
          </a:endParaRPr>
        </a:p>
        <a:p>
          <a:r>
            <a:rPr lang="en-US" sz="1050" baseline="0">
              <a:latin typeface="MMC OFFICE" panose="00000500000000000000" pitchFamily="2" charset="0"/>
            </a:rPr>
            <a:t>Branch Head: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o Justine Mary" refreshedDate="45736.618212847221" createdVersion="7" refreshedVersion="8" minRefreshableVersion="3" recordCount="75" xr:uid="{00000000-000A-0000-FFFF-FFFF00000000}">
  <cacheSource type="worksheet">
    <worksheetSource name="Table1"/>
  </cacheSource>
  <cacheFields count="9">
    <cacheField name="No." numFmtId="0">
      <sharedItems containsSemiMixedTypes="0" containsString="0" containsNumber="1" containsInteger="1" minValue="1" maxValue="75"/>
    </cacheField>
    <cacheField name="Main Category" numFmtId="0">
      <sharedItems count="3">
        <s v="Standard"/>
        <s v="Basic"/>
        <s v="Beyond"/>
      </sharedItems>
    </cacheField>
    <cacheField name="Standard Process" numFmtId="0">
      <sharedItems/>
    </cacheField>
    <cacheField name="Subject" numFmtId="0">
      <sharedItems count="87">
        <s v="Offering of date and time"/>
        <s v="Reason of Rejection"/>
        <s v="Contact Details"/>
        <s v="Blocking of SA for Walk-In customer"/>
        <s v="SA assignee"/>
        <s v="Reconfirmation Call"/>
        <s v="Appointment Welcome Board"/>
        <s v="Appointment"/>
        <s v="Dedicated Appointment and Walk-In Bay"/>
        <s v="Queuing system"/>
        <s v="Peak hours"/>
        <s v="CRM Requirements"/>
        <s v="Walk Around Inspection"/>
        <s v="Protective Covers"/>
        <s v="Vehicle Status Tag"/>
        <s v="Direct Reption"/>
        <s v="Workshop Driveway"/>
        <s v="Promised Time"/>
        <s v="Cost Estimate"/>
        <s v="SA Individual Note"/>
        <s v="Standard PMS Menu"/>
        <s v="Customers' Lounge"/>
        <s v="Offering of amenities"/>
        <s v="Shuttle Service Assistance"/>
        <s v="Assigned Sales Executive"/>
        <s v="Job Progress Monitoring"/>
        <s v="Carwash Control Board"/>
        <s v="Technicians Clock-In"/>
        <s v="Repair"/>
        <s v="Parts Availability"/>
        <s v="Pre-Picking"/>
        <s v="Emergency Parts"/>
        <s v="Parts 5S"/>
        <s v="Bin Locator"/>
        <s v="Dead Stock Rate"/>
        <s v="Unapproved Job"/>
        <s v="Workshop Maintenance"/>
        <s v="Delivery"/>
        <s v="Final Walk Around Inspection"/>
        <s v="Next PMS Reminder"/>
        <s v="Car Return"/>
        <s v="Actual Cost"/>
        <s v="Replaced Parts"/>
        <s v="QVOC Reminder"/>
        <s v="Removal of Protective Cover"/>
        <s v="Follow-Up Call"/>
        <s v="Complaint Monitoring Tracking Report"/>
        <s v="MAM"/>
        <s v="MOM"/>
        <s v="Suggestion Scheme"/>
        <s v="Tools Storage Room"/>
        <s v="Components Repair Room"/>
        <s v="Waste Oil Storage"/>
        <s v="Warranty Parts Storage"/>
        <s v="Scrapped Parts Storage"/>
        <s v="Dismantled Parts Storage"/>
        <s v="Service Reception Area"/>
        <s v="Employee Facilities"/>
        <s v="Training Room"/>
        <s v="Conference Room"/>
        <s v="Service Documents"/>
        <s v="Employees' Uniform"/>
        <s v="Manpower Complement" u="1"/>
        <s v="Manpower Capability" u="1"/>
        <s v="Tools and Equipment" u="1"/>
        <s v="Workbay Requirements" u="1"/>
        <s v="Parking Slots" u="1"/>
        <s v="Car Wash Area" u="1"/>
        <s v="Service Reception Bays" u="1"/>
        <s v="Service Release Bays" u="1"/>
        <s v="Preparation" u="1"/>
        <s v="Reception" u="1"/>
        <s v="Pre-delivery" u="1"/>
        <s v="After Delivery" u="1"/>
        <s v="Quick Service" u="1"/>
        <s v="Queuing System Utilization" u="1"/>
        <s v="CRM Systems Utilization" u="1"/>
        <s v="Customer Zone " u="1"/>
        <s v="Dealer-initated CS Program" u="1"/>
        <s v="Vehicle Protective Covers" u="1"/>
        <s v="Manpower Update Submission" u="1"/>
        <s v="Office Zone" u="1"/>
        <s v="Manpower Accreditation" u="1"/>
        <s v="Customer Zone" u="1"/>
        <s v="Office Zone " u="1"/>
        <s v="Mechanic Zone" u="1"/>
        <s v="Carry-over Units Storage" u="1"/>
      </sharedItems>
    </cacheField>
    <cacheField name="Description" numFmtId="0">
      <sharedItems longText="1"/>
    </cacheField>
    <cacheField name="Judgment" numFmtId="0">
      <sharedItems/>
    </cacheField>
    <cacheField name="Score" numFmtId="2">
      <sharedItems containsSemiMixedTypes="0" containsString="0" containsNumber="1" containsInteger="1" minValue="0" maxValue="1"/>
    </cacheField>
    <cacheField name="Action Plan" numFmtId="0">
      <sharedItems containsNonDate="0" containsString="0" containsBlank="1"/>
    </cacheField>
    <cacheField name="Commitment 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n v="1"/>
    <x v="0"/>
    <s v="1. Pro-active Customer Contact"/>
    <x v="0"/>
    <s v="Does Telemarketer follows appointment balance for the day._x000a_Appointment:_x000a_Morning = 80%_x000a_Afternoon = 20%"/>
    <s v="NO"/>
    <n v="0"/>
    <m/>
    <m/>
  </r>
  <r>
    <n v="2"/>
    <x v="0"/>
    <s v="1. Pro-active Customer Contact"/>
    <x v="1"/>
    <s v="Does Telemarketer record reason of rejection in case customer do not accept PMS appointment."/>
    <s v="YES"/>
    <n v="1"/>
    <m/>
    <m/>
  </r>
  <r>
    <n v="3"/>
    <x v="0"/>
    <s v="1. Pro-active Customer Contact"/>
    <x v="2"/>
    <s v="The CRO and Service Advisor should have a printed QR Code of contact details visible to the customers:_x000a_1. Telemarketer - for service appointment_x000a_2. CRO - for complaints"/>
    <s v="YES"/>
    <n v="1"/>
    <m/>
    <m/>
  </r>
  <r>
    <n v="4"/>
    <x v="0"/>
    <s v="2. Customer Appointment"/>
    <x v="3"/>
    <s v="Does Telemarketer perform block time for walk-in customers?"/>
    <s v="YES"/>
    <n v="1"/>
    <m/>
    <m/>
  </r>
  <r>
    <n v="5"/>
    <x v="0"/>
    <s v="2. Customer Appointment"/>
    <x v="4"/>
    <s v="Does Telemarketer assign and inform each SA their assigned customer with their appointment time?"/>
    <s v="YES"/>
    <n v="1"/>
    <m/>
    <m/>
  </r>
  <r>
    <n v="6"/>
    <x v="0"/>
    <s v="2. Customer Appointment"/>
    <x v="5"/>
    <s v="Does Telemarketer make appointment reconfirmation call the day before?"/>
    <s v="YES"/>
    <n v="1"/>
    <m/>
    <m/>
  </r>
  <r>
    <n v="7"/>
    <x v="0"/>
    <s v="2. Customer Appointment"/>
    <x v="6"/>
    <s v="Is the Appointment Welcome board visible to customer?_x000a__x000a_With complete details as follows:_x000a_1) today's date_x000a_2) time slot_x000a_3) name or plate number of customer_x000a_4) SA name_x000a_5) purpose of visit: e.g. 10K PMS, GR, etc._x000a_6) Arrival Status (Green - On time, Yellow - Late, Red - No Show)"/>
    <s v="YES"/>
    <n v="1"/>
    <m/>
    <m/>
  </r>
  <r>
    <n v="8"/>
    <x v="0"/>
    <s v="2. Customer Appointment"/>
    <x v="7"/>
    <s v="Telemarketer shares the list of customers booked 1 day before the day of appointment to all concerned after-sales personnel (Security Guard, Job Controller, Leadman, Parts Warehouse Staff, Service Advisor, Service Manager, Sales Executive) "/>
    <s v="YES"/>
    <n v="1"/>
    <m/>
    <m/>
  </r>
  <r>
    <n v="9"/>
    <x v="0"/>
    <s v="3. Personalized Customer Reception"/>
    <x v="8"/>
    <s v="Is there dedicated appointment bay and walk in bay?"/>
    <s v="YES"/>
    <n v="1"/>
    <m/>
    <m/>
  </r>
  <r>
    <n v="10"/>
    <x v="0"/>
    <s v="3. Personalized Customer Reception"/>
    <x v="9"/>
    <s v="Is there a queuing system in the reception area?"/>
    <s v="YES"/>
    <n v="1"/>
    <m/>
    <m/>
  </r>
  <r>
    <n v="11"/>
    <x v="0"/>
    <s v="3. Personalized Customer Reception"/>
    <x v="10"/>
    <s v="Is there a Receptionist who will accommodate customer during peak hours or if all SA's are still accomodating the customers?"/>
    <s v="YES"/>
    <n v="1"/>
    <m/>
    <m/>
  </r>
  <r>
    <n v="12"/>
    <x v="0"/>
    <s v="3. Personalized Customer Reception"/>
    <x v="11"/>
    <s v="Dedicated digital tablet for walk-around inspection is available. (1 Tablet : 1 SA) (Updated to minimum Google Android ver. 9; Apple iOS 10)"/>
    <s v="YES"/>
    <n v="1"/>
    <m/>
    <m/>
  </r>
  <r>
    <n v="13"/>
    <x v="0"/>
    <s v="3. Personalized Customer Reception"/>
    <x v="12"/>
    <s v="Does SA always inspect vehicle for any car body damage using walk around inspection checklist? (Check 3 samples)"/>
    <s v="YES"/>
    <n v="1"/>
    <m/>
    <m/>
  </r>
  <r>
    <n v="14"/>
    <x v="0"/>
    <s v="3. Personalized Customer Reception"/>
    <x v="13"/>
    <s v="Does SA always put the following protective covers before transfering the vehicle to workshop?_x000a__x000a_1. Steering wheel cover_x000a_2. Seat Cover_x000a_3. Shifting knob cover_x000a_4. Handbrake cover_x000a_5. Floormats"/>
    <s v="YES"/>
    <n v="1"/>
    <m/>
    <m/>
  </r>
  <r>
    <n v="15"/>
    <x v="0"/>
    <s v="3. Personalized Customer Reception"/>
    <x v="14"/>
    <s v="Do all vehicles in the workshop have a vehicle status tag with promised date/ time?"/>
    <s v="YES"/>
    <n v="1"/>
    <m/>
    <m/>
  </r>
  <r>
    <n v="16"/>
    <x v="0"/>
    <s v="3. Personalized Customer Reception"/>
    <x v="15"/>
    <s v="Is there Direct Reception Process with the following condition?_x000a_1) Dedicated bay_x000a_2) Customer safety area in case the bay is inside Workshop. If the bay is within reception area, the safety area is optional_x000a_3) DR kit is available- (Minimum: Glove, Battery tester, Tire gauge, Torch light)"/>
    <s v="YES"/>
    <n v="1"/>
    <m/>
    <m/>
  </r>
  <r>
    <n v="17"/>
    <x v="1"/>
    <s v="3. Personalized Customer Reception"/>
    <x v="16"/>
    <s v="Workshop entrance/exit is clear of obstructions at all times and not used as parking slots (max of 20 minutes shall be the maximum time that other vehicles/ items can stay at each lane)"/>
    <s v="NO"/>
    <n v="0"/>
    <m/>
    <m/>
  </r>
  <r>
    <n v="18"/>
    <x v="0"/>
    <s v="4. Menu Pricing / Commitment of Price and Time Delivery"/>
    <x v="17"/>
    <s v="Does SA provide the customer a promised time of delivery by checking availability of technician through job controller or leadman?"/>
    <s v="YES"/>
    <n v="1"/>
    <m/>
    <m/>
  </r>
  <r>
    <n v="19"/>
    <x v="0"/>
    <s v="4. Menu Pricing / Commitment of Price and Time Delivery"/>
    <x v="18"/>
    <s v="On the Repair Order, is cost estimate always attached?"/>
    <s v="YES"/>
    <n v="1"/>
    <m/>
    <m/>
  </r>
  <r>
    <n v="20"/>
    <x v="0"/>
    <s v="4. Menu Pricing / Commitment of Price and Time Delivery"/>
    <x v="19"/>
    <s v="Does SA have an individual note with promised time of all received customersr?_x000a_"/>
    <s v="YES"/>
    <n v="1"/>
    <m/>
    <m/>
  </r>
  <r>
    <n v="21"/>
    <x v="0"/>
    <s v="4. Menu Pricing / Commitment of Price and Time Delivery"/>
    <x v="20"/>
    <s v="Is standard PMS menu and cost displayed in the center monitor in the Service Reception area?"/>
    <s v="YES"/>
    <n v="1"/>
    <m/>
    <m/>
  </r>
  <r>
    <n v="22"/>
    <x v="0"/>
    <s v="5. Customer Care and Communication"/>
    <x v="21"/>
    <s v="&gt; See sheet: &quot;Subform&quot;"/>
    <s v="YES"/>
    <n v="1"/>
    <m/>
    <m/>
  </r>
  <r>
    <n v="23"/>
    <x v="0"/>
    <s v="5. Customer Care and Communication"/>
    <x v="22"/>
    <s v="Service Personnel/Service Advisor/ CRO/ SA on Duty verbally offers all available lounge amenities to customers (WiFi access/ password, Sofa, TV, CR)_x000a_1) complimentary drink and snack _x000a_2) WIFI, Password_x000a_3) Mobile charging station_x000a_4) How to read YANA vehicle status update_x000a_5) Televison/ reading materials_x000a_6) Comfort Room"/>
    <s v="YES"/>
    <n v="1"/>
    <m/>
    <m/>
  </r>
  <r>
    <n v="24"/>
    <x v="0"/>
    <s v="5. Customer Care and Communication"/>
    <x v="11"/>
    <s v="Stable internet connection at the ff. area: _x000a_(Bandwidth&gt; 1Mbps and Latency&lt;150ms) via Ookla speedtest_x000a_1. Customer's Lounge (min. 10mbps)_x000a_2. Service Reception_x000a_3. Receiving Bay"/>
    <s v="YES"/>
    <n v="1"/>
    <m/>
    <m/>
  </r>
  <r>
    <n v="25"/>
    <x v="0"/>
    <s v="5. Customer Care and Communication"/>
    <x v="11"/>
    <s v="Dedicated Vehicle Status Monitor must be visibly displayed and reflects the latest vehicle status update at the Customer Lounge"/>
    <s v="YES"/>
    <n v="1"/>
    <m/>
    <m/>
  </r>
  <r>
    <n v="26"/>
    <x v="2"/>
    <s v="5. Customer Care and Communication"/>
    <x v="23"/>
    <s v="Does the SA offer shuttle service transportation or assistance (e.g. grab, taxi etc…)"/>
    <s v="YES"/>
    <n v="1"/>
    <m/>
    <m/>
  </r>
  <r>
    <n v="27"/>
    <x v="0"/>
    <s v="5. Customer Care and Communication"/>
    <x v="24"/>
    <s v="Did salesperson make contact with customer who was waiting at the lounge _x000a_150K &gt; offer new vehicle"/>
    <s v="YES"/>
    <n v="1"/>
    <m/>
    <m/>
  </r>
  <r>
    <n v="28"/>
    <x v="0"/>
    <s v="5. Customer Care and Communication"/>
    <x v="24"/>
    <s v="Does SA inform progress of vehicle to the waiting customer 1 hr after issuance of RO? (Interview 1 customer)"/>
    <s v="YES"/>
    <n v="1"/>
    <m/>
    <m/>
  </r>
  <r>
    <n v="29"/>
    <x v="0"/>
    <s v="6. Workshop Scheduling"/>
    <x v="25"/>
    <s v="Did the Job Controller conduct pre-planning  based on the appointment sheet for the day?"/>
    <s v="YES"/>
    <n v="1"/>
    <m/>
    <m/>
  </r>
  <r>
    <n v="30"/>
    <x v="0"/>
    <s v="6. Workshop Scheduling"/>
    <x v="26"/>
    <s v="Is car wash control board available, properly filled out and based on the standard template?"/>
    <s v="YES"/>
    <n v="1"/>
    <m/>
    <m/>
  </r>
  <r>
    <n v="31"/>
    <x v="0"/>
    <s v="6. Workshop Scheduling"/>
    <x v="25"/>
    <s v="Did JC make car wash plan and communicate with carwasher the promised time of received customers?"/>
    <s v="YES"/>
    <n v="1"/>
    <m/>
    <m/>
  </r>
  <r>
    <n v="32"/>
    <x v="0"/>
    <s v="6. Workshop Scheduling"/>
    <x v="27"/>
    <s v="Do technicians clock in as soon as RO is handed over and clock out as soon as job is completed (excluding QC)?"/>
    <s v="YES"/>
    <n v="1"/>
    <m/>
    <m/>
  </r>
  <r>
    <n v="33"/>
    <x v="0"/>
    <s v="6. Workshop Scheduling"/>
    <x v="28"/>
    <s v="&gt; Carryover units are properly monitored and managed (with monitoring)"/>
    <s v="YES"/>
    <n v="1"/>
    <m/>
    <m/>
  </r>
  <r>
    <n v="34"/>
    <x v="0"/>
    <s v="7. Advance Info to Parts Store"/>
    <x v="29"/>
    <s v="Does SA check parts availability for every GR prior to issue of RO to determine promised time of delivery with customer? "/>
    <s v="YES"/>
    <n v="1"/>
    <m/>
    <m/>
  </r>
  <r>
    <n v="35"/>
    <x v="0"/>
    <s v="7. Advance Info to Parts Store"/>
    <x v="30"/>
    <s v="Does Parts Staff pre-pick parts for appointment and walk-in customers?_x000a_(With pre-picked parts storage shelves/ rack/ container/ pre-pick tag, area, that is able to accommodate pre-picking process)"/>
    <s v="YES"/>
    <n v="1"/>
    <m/>
    <m/>
  </r>
  <r>
    <n v="36"/>
    <x v="0"/>
    <s v="7. Advance Info to Parts Store"/>
    <x v="31"/>
    <s v="Is there any monitoring to ensure that the Leadman/ technician who is waiting for emergency parts is contacted immediately after delivery/receiving of parts?"/>
    <s v="YES"/>
    <n v="1"/>
    <m/>
    <m/>
  </r>
  <r>
    <n v="37"/>
    <x v="0"/>
    <s v="7. Advance Info to Parts Store"/>
    <x v="32"/>
    <s v="Are there no parts on the floor without bin locator? And/ or does each locator stores only one kind of parts?"/>
    <s v="YES"/>
    <n v="1"/>
    <m/>
    <m/>
  </r>
  <r>
    <n v="38"/>
    <x v="0"/>
    <s v="7. Advance Info to Parts Store"/>
    <x v="33"/>
    <s v="Is parts bin locator physically and properly displayed in parts warehouse?"/>
    <s v="YES"/>
    <n v="1"/>
    <m/>
    <m/>
  </r>
  <r>
    <n v="39"/>
    <x v="0"/>
    <s v="7. Advance Info to Parts Store"/>
    <x v="34"/>
    <s v="Does parts manager monitor dead stock rate? "/>
    <s v="YES"/>
    <n v="1"/>
    <m/>
    <m/>
  </r>
  <r>
    <n v="40"/>
    <x v="0"/>
    <s v="8. Repair Order Processing and _x000a_Quality of Work"/>
    <x v="14"/>
    <s v="Does Leadman indicate or instruct target job completion time to the assigned technician? (Vehicle status tag has promised time of delivery and in the windshield and Technician Visualization Tag is available with proper details)"/>
    <s v="YES"/>
    <n v="1"/>
    <m/>
    <m/>
  </r>
  <r>
    <n v="41"/>
    <x v="0"/>
    <s v="8. Repair Order Processing and _x000a_Quality of Work"/>
    <x v="35"/>
    <s v="In case of unapproved job by the customer, does SA record as &quot;future work reminder&quot; in service history of DMS?"/>
    <s v="YES"/>
    <n v="1"/>
    <m/>
    <m/>
  </r>
  <r>
    <n v="42"/>
    <x v="1"/>
    <s v="8. Repair Order Processing and _x000a_Quality of Work"/>
    <x v="36"/>
    <s v="&gt; Workbays are marked with demarcation lines, and identified with numbers_x000a_&gt; Cleanliness inside the workshop area is maintained (no lingering oil and water spills, and scattered items) 5S"/>
    <s v="YES"/>
    <n v="1"/>
    <m/>
    <m/>
  </r>
  <r>
    <n v="43"/>
    <x v="0"/>
    <s v="8. Repair Order Processing and _x000a_Quality of Work"/>
    <x v="28"/>
    <s v="Service Vehicle:_x000a_All service vehicle has exterior covers installed (bumper and fender)"/>
    <s v="YES"/>
    <n v="1"/>
    <m/>
    <m/>
  </r>
  <r>
    <n v="44"/>
    <x v="0"/>
    <s v="9. Repair Order Completion _x000a_and Invoicing"/>
    <x v="14"/>
    <s v="Does vehicle status tag indicate proper status inside the shop? (e.g. if ongoing repair, or for car wash, etc.)"/>
    <s v="YES"/>
    <n v="1"/>
    <m/>
    <m/>
  </r>
  <r>
    <n v="45"/>
    <x v="0"/>
    <s v="9. Repair Order Completion _x000a_and Invoicing"/>
    <x v="37"/>
    <s v="&gt; Escorted the customer to his/her vehicle, and removes the interior protective covers in front of the customer"/>
    <s v="YES"/>
    <n v="1"/>
    <m/>
    <m/>
  </r>
  <r>
    <n v="46"/>
    <x v="0"/>
    <s v="9. Repair Order Completion _x000a_and Invoicing"/>
    <x v="38"/>
    <s v="Does SA conduct final walk around inspection?"/>
    <s v="YES"/>
    <n v="1"/>
    <m/>
    <m/>
  </r>
  <r>
    <n v="47"/>
    <x v="0"/>
    <s v="9. Repair Order Completion _x000a_and Invoicing"/>
    <x v="39"/>
    <s v="Is next PMS reminder stated in the RO?"/>
    <s v="YES"/>
    <n v="1"/>
    <m/>
    <m/>
  </r>
  <r>
    <n v="48"/>
    <x v="0"/>
    <s v="9. Repair Order Completion _x000a_and Invoicing"/>
    <x v="40"/>
    <s v="Did SA inform waiting customer and non waiting customer when car is ready for return?"/>
    <s v="YES"/>
    <n v="1"/>
    <m/>
    <m/>
  </r>
  <r>
    <n v="49"/>
    <x v="0"/>
    <s v="9. Repair Order Completion _x000a_and Invoicing"/>
    <x v="28"/>
    <s v="Documentation:_x000a_Proper utilization of all service documents (Rationalized Checksheet, Repair Order, Service Invoice)"/>
    <s v="YES"/>
    <n v="1"/>
    <m/>
    <m/>
  </r>
  <r>
    <n v="50"/>
    <x v="0"/>
    <s v="10. Customer Information  _x000a_and Car Return"/>
    <x v="41"/>
    <s v="Does SA refer to the initial agreed RO and quoted price? (job  was completed and the actual costs are equal to or below the estimate. if not, SA makes additional explanation)"/>
    <s v="YES"/>
    <n v="1"/>
    <m/>
    <m/>
  </r>
  <r>
    <n v="51"/>
    <x v="0"/>
    <s v="10. Customer Information  _x000a_and Car Return"/>
    <x v="42"/>
    <s v="Does SA show replaced parts (if applicable) during delivery process?"/>
    <s v="YES"/>
    <n v="1"/>
    <m/>
    <m/>
  </r>
  <r>
    <n v="52"/>
    <x v="0"/>
    <s v="10. Customer Information  _x000a_and Car Return"/>
    <x v="43"/>
    <s v="Does receptionist remind the customer regarding QVOC (poster stating the survey and show the sample content of message)_x000a_SA - Main_x000a_Receptionist - Sub"/>
    <s v="YES"/>
    <n v="1"/>
    <m/>
    <m/>
  </r>
  <r>
    <n v="53"/>
    <x v="0"/>
    <s v="10. Customer Information  _x000a_and Car Return"/>
    <x v="44"/>
    <s v="Does SA remove the Protective Cover Sheet in the presence of Customer before vehicle is delivered back to the Customer? "/>
    <s v="YES"/>
    <n v="1"/>
    <m/>
    <m/>
  </r>
  <r>
    <n v="54"/>
    <x v="0"/>
    <s v="10. Customer Information  _x000a_and Car Return"/>
    <x v="45"/>
    <s v="Does SA mention about the follow up call and its purpose such as the following?_x000a_ &gt; to give notice to the customer that follow up call will be made by CRO within 3 days_x000a_ &gt; benefit of the follow up call for customer_x000a_ &gt; preferable time to receive a call"/>
    <s v="YES"/>
    <n v="1"/>
    <m/>
    <m/>
  </r>
  <r>
    <n v="55"/>
    <x v="0"/>
    <s v="11. Customer After Service Contact"/>
    <x v="45"/>
    <s v="Does CRO call received customers after service within 3 days?"/>
    <s v="YES"/>
    <n v="1"/>
    <m/>
    <m/>
  </r>
  <r>
    <n v="56"/>
    <x v="0"/>
    <s v="11. Customer After Service Contact"/>
    <x v="46"/>
    <s v="Does CRO categorize concerns based on follow up call result and collected QVOC responses? (i.e. concern on parking, attitude of staff, quality of work, price of RO etc.)"/>
    <s v="YES"/>
    <n v="1"/>
    <m/>
    <m/>
  </r>
  <r>
    <n v="57"/>
    <x v="0"/>
    <s v="11. Customer After Service Contact"/>
    <x v="46"/>
    <s v="Does the Complaint Monitoring Tracking Report include number of open concern (concern that has no implemented action within 7 calendar days)."/>
    <s v="YES"/>
    <n v="1"/>
    <m/>
    <m/>
  </r>
  <r>
    <n v="58"/>
    <x v="0"/>
    <s v="12. Concern Prevention _x000a_and Resolution"/>
    <x v="47"/>
    <s v="Is &quot;Weekly Meeting&quot; (MAM) organized at least once a week at the same time on the same day of week?"/>
    <s v="YES"/>
    <n v="1"/>
    <m/>
    <m/>
  </r>
  <r>
    <n v="59"/>
    <x v="0"/>
    <s v="12. Concern Prevention _x000a_and Resolution"/>
    <x v="47"/>
    <s v="Is &quot;Daily Meeting&quot; (MOM) organized daily with workshop staff at the same time ?"/>
    <s v="YES"/>
    <n v="1"/>
    <m/>
    <m/>
  </r>
  <r>
    <n v="60"/>
    <x v="0"/>
    <s v="12. Concern Prevention _x000a_and Resolution"/>
    <x v="47"/>
    <s v="Is there any information board which displays actions or KPI derived from MAM? "/>
    <s v="YES"/>
    <n v="1"/>
    <m/>
    <m/>
  </r>
  <r>
    <n v="61"/>
    <x v="0"/>
    <s v="12. Concern Prevention _x000a_and Resolution"/>
    <x v="48"/>
    <s v="Is there any information board which displays key information for workshop staff derived from MOM?"/>
    <s v="YES"/>
    <n v="1"/>
    <m/>
    <m/>
  </r>
  <r>
    <n v="62"/>
    <x v="0"/>
    <s v="12. Concern Prevention _x000a_and Resolution"/>
    <x v="49"/>
    <s v="Is there any Suggestion program at Workshop?"/>
    <s v="YES"/>
    <n v="1"/>
    <m/>
    <m/>
  </r>
  <r>
    <n v="63"/>
    <x v="0"/>
    <s v="12. Concern Prevention _x000a_and Resolution"/>
    <x v="47"/>
    <s v="Are the following KPI being monitored and ready to be discussed in case its necessary during &quot;Weekly Meeting&quot;?: _x000a_1) Actual SIU and target agreed with MMPC_x000a_2) Actual first retention rate_x000a_3) Actual P&amp;A booking and target agreed with MMPC_x000a_4) Stock month of first moving parts_x000a_5) Focus item upselling_x000a_6) Dead stock ratio_x000a_7) CSI_x000a_8) Fix it right first time or repeat repair ratio - Use &quot;F1&quot; term (from QVOC)_x000a_9) Efficiency ratio_x000a_10) Utilization_x000a_11) Productivity_x000a_12) Appointment ratio vs reminder call_x000a_13) Reminder call coverage ratio_x000a_14) Proactive call acceptance ratio - change &quot;Reminder&quot; to &quot;Proactive&quot;_x000a_15) Appointment ratio_x000a_16) Appointment balance for a day_x000a_17) On time delivery ratio_x000a_18) Follow up call ratio_x000a_19) Direct reception_x000a_20) Complaint Discussion"/>
    <s v="YES"/>
    <n v="1"/>
    <m/>
    <m/>
  </r>
  <r>
    <n v="64"/>
    <x v="1"/>
    <s v="Facilities"/>
    <x v="50"/>
    <s v="&gt; Items are properly sorted and stored_x000a_&gt; Cleanliness inside the tool room is maintained_x000a_&gt; Special service tools are wall-mounted_x000a_&gt; There is an updated borrower's logbook"/>
    <s v="NO"/>
    <n v="0"/>
    <m/>
    <m/>
  </r>
  <r>
    <n v="65"/>
    <x v="1"/>
    <s v="Facilities"/>
    <x v="51"/>
    <s v="&gt; The components repair room is used for its intended purpose_x000a_&gt; The required tools are present and properly managed_x000a_&gt; Has adequate illumination and ventilation"/>
    <s v="YES"/>
    <n v="1"/>
    <m/>
    <m/>
  </r>
  <r>
    <n v="66"/>
    <x v="1"/>
    <s v="Facilities"/>
    <x v="52"/>
    <s v="&gt; Storage area is enclosed  _x000a_&gt; Drums are placed on top of elevated platforms  _x000a_&gt; No oil spills on the floor and with regular schedule disposal pullout "/>
    <s v="YES"/>
    <n v="1"/>
    <m/>
    <m/>
  </r>
  <r>
    <n v="67"/>
    <x v="1"/>
    <s v="Facilities"/>
    <x v="53"/>
    <s v="&gt; Storage area is enclosed  _x000a_&gt; Contains storage racks and bins; replaced parts must be secured with box _x000a_&gt; Follows the standard 30-60-90 days sorting scheme _x000a_&gt; Should have a proper tagging and inventory list and monitoring "/>
    <s v="YES"/>
    <n v="1"/>
    <m/>
    <m/>
  </r>
  <r>
    <n v="68"/>
    <x v="1"/>
    <s v="Facilities"/>
    <x v="54"/>
    <s v="&gt; Placed at the back part of the service shop and properly maintained "/>
    <s v="YES"/>
    <n v="1"/>
    <m/>
    <m/>
  </r>
  <r>
    <n v="69"/>
    <x v="1"/>
    <s v="Facilities"/>
    <x v="55"/>
    <s v="&gt; Must be in an enclosed area with enough racks and bins for proper sorting "/>
    <s v="YES"/>
    <n v="1"/>
    <m/>
    <m/>
  </r>
  <r>
    <n v="70"/>
    <x v="1"/>
    <s v="Facilities"/>
    <x v="56"/>
    <s v="&gt; See sheet: &quot;Subform&quot;"/>
    <s v="YES"/>
    <n v="1"/>
    <m/>
    <m/>
  </r>
  <r>
    <n v="71"/>
    <x v="0"/>
    <s v="Facilities"/>
    <x v="57"/>
    <s v="&gt; See sheet: &quot;Subform&quot;"/>
    <s v="YES"/>
    <n v="1"/>
    <m/>
    <m/>
  </r>
  <r>
    <n v="72"/>
    <x v="0"/>
    <s v="Facilities"/>
    <x v="58"/>
    <s v="&gt; See sheet: &quot;Subform&quot;"/>
    <s v="YES"/>
    <n v="1"/>
    <m/>
    <m/>
  </r>
  <r>
    <n v="73"/>
    <x v="0"/>
    <s v="Facilities"/>
    <x v="59"/>
    <s v="&gt; See sheet: &quot;Subform&quot;"/>
    <s v="YES"/>
    <n v="1"/>
    <m/>
    <m/>
  </r>
  <r>
    <n v="74"/>
    <x v="0"/>
    <s v="Systems"/>
    <x v="60"/>
    <s v="&gt; Has updated access account on Service Information Portal"/>
    <s v="YES"/>
    <n v="1"/>
    <m/>
    <m/>
  </r>
  <r>
    <n v="75"/>
    <x v="2"/>
    <s v="Manpower"/>
    <x v="61"/>
    <s v="&gt; All service personnel should be neatly dressed and Technicians must wear the latest MMPC-prescribed uniform."/>
    <s v="YES"/>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2:E66" firstHeaderRow="1" firstDataRow="2" firstDataCol="1"/>
  <pivotFields count="9">
    <pivotField compact="0" outline="0" showAll="0"/>
    <pivotField axis="axisCol" compact="0" outline="0" showAll="0">
      <items count="4">
        <item x="1"/>
        <item x="0"/>
        <item x="2"/>
        <item t="default"/>
      </items>
    </pivotField>
    <pivotField compact="0" outline="0" showAll="0"/>
    <pivotField axis="axisRow" compact="0" outline="0" showAll="0">
      <items count="88">
        <item sd="0" m="1" x="82"/>
        <item sd="0" m="1" x="62"/>
        <item sd="0" m="1" x="64"/>
        <item sd="0" x="16"/>
        <item sd="0" m="1" x="65"/>
        <item sd="0" x="36"/>
        <item sd="0" m="1" x="66"/>
        <item m="1" x="86"/>
        <item x="50"/>
        <item x="51"/>
        <item x="52"/>
        <item x="53"/>
        <item x="54"/>
        <item x="55"/>
        <item m="1" x="67"/>
        <item m="1" x="68"/>
        <item m="1" x="69"/>
        <item x="56"/>
        <item x="11"/>
        <item x="60"/>
        <item x="57"/>
        <item x="58"/>
        <item x="59"/>
        <item m="1" x="79"/>
        <item x="7"/>
        <item m="1" x="71"/>
        <item m="1" x="70"/>
        <item x="28"/>
        <item m="1" x="72"/>
        <item x="37"/>
        <item m="1" x="73"/>
        <item m="1" x="80"/>
        <item m="1" x="74"/>
        <item x="21"/>
        <item m="1" x="76"/>
        <item m="1" x="75"/>
        <item x="61"/>
        <item m="1" x="78"/>
        <item m="1" x="63"/>
        <item m="1" x="85"/>
        <item m="1" x="83"/>
        <item m="1" x="77"/>
        <item m="1" x="84"/>
        <item m="1" x="81"/>
        <item x="0"/>
        <item x="1"/>
        <item x="2"/>
        <item x="3"/>
        <item x="4"/>
        <item x="5"/>
        <item x="6"/>
        <item x="8"/>
        <item x="9"/>
        <item x="10"/>
        <item x="12"/>
        <item x="13"/>
        <item x="14"/>
        <item x="15"/>
        <item x="17"/>
        <item x="18"/>
        <item x="19"/>
        <item x="20"/>
        <item x="22"/>
        <item x="23"/>
        <item x="24"/>
        <item x="25"/>
        <item x="26"/>
        <item x="27"/>
        <item x="29"/>
        <item x="30"/>
        <item x="31"/>
        <item x="32"/>
        <item x="33"/>
        <item x="34"/>
        <item x="35"/>
        <item x="38"/>
        <item x="39"/>
        <item x="40"/>
        <item x="41"/>
        <item x="42"/>
        <item x="43"/>
        <item x="44"/>
        <item x="45"/>
        <item x="46"/>
        <item x="47"/>
        <item x="48"/>
        <item x="49"/>
        <item t="default"/>
      </items>
    </pivotField>
    <pivotField compact="0" outline="0" showAll="0"/>
    <pivotField compact="0" outline="0" showAll="0"/>
    <pivotField compact="0" numFmtId="2" outline="0" showAll="0"/>
    <pivotField compact="0" outline="0" showAll="0" defaultSubtotal="0"/>
    <pivotField compact="0" outline="0" showAll="0" defaultSubtotal="0"/>
  </pivotFields>
  <rowFields count="1">
    <field x="3"/>
  </rowFields>
  <rowItems count="63">
    <i>
      <x v="3"/>
    </i>
    <i>
      <x v="5"/>
    </i>
    <i>
      <x v="8"/>
    </i>
    <i>
      <x v="9"/>
    </i>
    <i>
      <x v="10"/>
    </i>
    <i>
      <x v="11"/>
    </i>
    <i>
      <x v="12"/>
    </i>
    <i>
      <x v="13"/>
    </i>
    <i>
      <x v="17"/>
    </i>
    <i>
      <x v="18"/>
    </i>
    <i>
      <x v="19"/>
    </i>
    <i>
      <x v="20"/>
    </i>
    <i>
      <x v="21"/>
    </i>
    <i>
      <x v="22"/>
    </i>
    <i>
      <x v="24"/>
    </i>
    <i>
      <x v="27"/>
    </i>
    <i>
      <x v="29"/>
    </i>
    <i>
      <x v="33"/>
    </i>
    <i>
      <x v="36"/>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Fields count="1">
    <field x="1"/>
  </colFields>
  <colItems count="4">
    <i>
      <x/>
    </i>
    <i>
      <x v="1"/>
    </i>
    <i>
      <x v="2"/>
    </i>
    <i t="grand">
      <x/>
    </i>
  </colItems>
  <formats count="37">
    <format dxfId="47">
      <pivotArea outline="0" collapsedLevelsAreSubtotals="1" fieldPosition="0"/>
    </format>
    <format dxfId="46">
      <pivotArea field="1" type="button" dataOnly="0" labelOnly="1" outline="0" axis="axisCol" fieldPosition="0"/>
    </format>
    <format dxfId="45">
      <pivotArea type="topRight" dataOnly="0" labelOnly="1" outline="0" fieldPosition="0"/>
    </format>
    <format dxfId="44">
      <pivotArea dataOnly="0" labelOnly="1" outline="0" fieldPosition="0">
        <references count="1">
          <reference field="1" count="0"/>
        </references>
      </pivotArea>
    </format>
    <format dxfId="43">
      <pivotArea dataOnly="0" labelOnly="1" grandCol="1" outline="0" fieldPosition="0"/>
    </format>
    <format dxfId="42">
      <pivotArea outline="0" collapsedLevelsAreSubtotals="1" fieldPosition="0"/>
    </format>
    <format dxfId="41">
      <pivotArea field="1" type="button" dataOnly="0" labelOnly="1" outline="0" axis="axisCol" fieldPosition="0"/>
    </format>
    <format dxfId="40">
      <pivotArea type="topRight" dataOnly="0" labelOnly="1" outline="0" fieldPosition="0"/>
    </format>
    <format dxfId="39">
      <pivotArea dataOnly="0" labelOnly="1" outline="0" fieldPosition="0">
        <references count="1">
          <reference field="1" count="0"/>
        </references>
      </pivotArea>
    </format>
    <format dxfId="38">
      <pivotArea dataOnly="0" labelOnly="1" grandCol="1" outline="0"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1" type="button" dataOnly="0" labelOnly="1" outline="0" axis="axisCol" fieldPosition="0"/>
    </format>
    <format dxfId="33">
      <pivotArea type="topRight" dataOnly="0" labelOnly="1" outline="0" fieldPosition="0"/>
    </format>
    <format dxfId="32">
      <pivotArea field="3" type="button" dataOnly="0" labelOnly="1" outline="0" axis="axisRow" fieldPosition="1"/>
    </format>
    <format dxfId="31">
      <pivotArea dataOnly="0" labelOnly="1" grandRow="1" outline="0" fieldPosition="0"/>
    </format>
    <format dxfId="30">
      <pivotArea dataOnly="0" labelOnly="1" outline="0" fieldPosition="0">
        <references count="1">
          <reference field="1" count="0"/>
        </references>
      </pivotArea>
    </format>
    <format dxfId="29">
      <pivotArea dataOnly="0" labelOnly="1" grandCol="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1" type="button" dataOnly="0" labelOnly="1" outline="0" axis="axisCol" fieldPosition="0"/>
    </format>
    <format dxfId="24">
      <pivotArea type="topRight" dataOnly="0" labelOnly="1" outline="0" fieldPosition="0"/>
    </format>
    <format dxfId="23">
      <pivotArea field="3" type="button" dataOnly="0" labelOnly="1" outline="0" axis="axisRow" fieldPosition="1"/>
    </format>
    <format dxfId="22">
      <pivotArea dataOnly="0" labelOnly="1" grandRow="1" outline="0" fieldPosition="0"/>
    </format>
    <format dxfId="21">
      <pivotArea dataOnly="0" labelOnly="1" outline="0" fieldPosition="0">
        <references count="1">
          <reference field="1"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3" type="button" dataOnly="0" labelOnly="1" outline="0" axis="axisRow" fieldPosition="1"/>
    </format>
    <format dxfId="13">
      <pivotArea dataOnly="0" labelOnly="1" grandRow="1" outline="0" fieldPosition="0"/>
    </format>
    <format dxfId="12">
      <pivotArea dataOnly="0" labelOnly="1" outline="0" fieldPosition="0">
        <references count="1">
          <reference field="1" count="0"/>
        </references>
      </pivotArea>
    </format>
    <format dxfId="11">
      <pivotArea dataOnly="0" labelOnly="1" grandCol="1" outline="0" fieldPosition="0"/>
    </format>
  </formats>
  <pivotTableStyleInfo name="PivotStyleLight8"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Cordon,%20Isabela" TargetMode="External"/><Relationship Id="rId21" Type="http://schemas.openxmlformats.org/officeDocument/2006/relationships/hyperlink" Target="https://www.bing.com/th?id=OSK.3fdf0d73efa7a1e019ad87f94fd4e1ac&amp;qlt=95" TargetMode="External"/><Relationship Id="rId42" Type="http://schemas.openxmlformats.org/officeDocument/2006/relationships/hyperlink" Target="https://www.bing.com/images/search?form=xlimg&amp;q=Jose%20Abad%20Santos,%20Davao%20Occidental" TargetMode="External"/><Relationship Id="rId47" Type="http://schemas.openxmlformats.org/officeDocument/2006/relationships/hyperlink" Target="https://www.bing.com/th?id=OSK.09e6d1ed0fb44dd6011f435f12ecd8f4&amp;qlt=95" TargetMode="External"/><Relationship Id="rId63" Type="http://schemas.openxmlformats.org/officeDocument/2006/relationships/hyperlink" Target="https://www.bing.com/th?id=OSK.4fd9dc47438d0b9183894a29c4253080&amp;qlt=95" TargetMode="External"/><Relationship Id="rId68" Type="http://schemas.openxmlformats.org/officeDocument/2006/relationships/hyperlink" Target="https://www.bing.com/images/search?form=xlimg&amp;q=Paco,%20Manila" TargetMode="External"/><Relationship Id="rId84" Type="http://schemas.openxmlformats.org/officeDocument/2006/relationships/hyperlink" Target="https://www.bing.com/images/search?form=xlimg&amp;q=Tagbilaran" TargetMode="External"/><Relationship Id="rId89" Type="http://schemas.openxmlformats.org/officeDocument/2006/relationships/hyperlink" Target="https://www.bing.com/th?id=OSK.edfe68bed0bea431275c64fd7146357e&amp;qlt=95" TargetMode="External"/><Relationship Id="rId34" Type="http://schemas.openxmlformats.org/officeDocument/2006/relationships/hyperlink" Target="https://www.bing.com/images/search?form=xlimg&amp;q=General%20Santos" TargetMode="External"/><Relationship Id="rId50" Type="http://schemas.openxmlformats.org/officeDocument/2006/relationships/hyperlink" Target="https://www.bing.com/images/search?form=xlimg&amp;q=Las%20Pi%c3%b1as" TargetMode="External"/><Relationship Id="rId55" Type="http://schemas.openxmlformats.org/officeDocument/2006/relationships/hyperlink" Target="https://www.bing.com/th?id=OSK.a72f076e8d5bfa85afacb45bfaa5142c&amp;qlt=95" TargetMode="External"/><Relationship Id="rId76" Type="http://schemas.openxmlformats.org/officeDocument/2006/relationships/hyperlink" Target="https://www.bing.com/images/search?form=xlimg&amp;q=San%20Pablo,%20Laguna" TargetMode="External"/><Relationship Id="rId97" Type="http://schemas.openxmlformats.org/officeDocument/2006/relationships/hyperlink" Target="https://www.bing.com/th?id=OSK.3bd727a4a54304d370ec51a1637462b4&amp;qlt=95" TargetMode="External"/><Relationship Id="rId7" Type="http://schemas.openxmlformats.org/officeDocument/2006/relationships/hyperlink" Target="https://www.bing.com/th?id=OSK.ad3ac1b638d8c289ba4c9310bcecbef5&amp;qlt=95" TargetMode="External"/><Relationship Id="rId71" Type="http://schemas.openxmlformats.org/officeDocument/2006/relationships/hyperlink" Target="https://www.bing.com/th?id=OSK.cdd618bfe3c4f1dd62d15a2141a5c344&amp;qlt=95" TargetMode="External"/><Relationship Id="rId92" Type="http://schemas.openxmlformats.org/officeDocument/2006/relationships/hyperlink" Target="https://www.bing.com/images/search?form=xlimg&amp;q=Taytay,%20Rizal" TargetMode="External"/><Relationship Id="rId16" Type="http://schemas.openxmlformats.org/officeDocument/2006/relationships/hyperlink" Target="https://www.bing.com/images/search?form=xlimg&amp;q=Butuan" TargetMode="External"/><Relationship Id="rId2" Type="http://schemas.openxmlformats.org/officeDocument/2006/relationships/hyperlink" Target="https://www.bing.com/images/search?form=xlimg&amp;q=Alabang" TargetMode="External"/><Relationship Id="rId29" Type="http://schemas.openxmlformats.org/officeDocument/2006/relationships/hyperlink" Target="https://www.bing.com/th?id=OSK.a5af0e8278912aaa63a8c38c92bbb954&amp;qlt=95" TargetMode="External"/><Relationship Id="rId11" Type="http://schemas.openxmlformats.org/officeDocument/2006/relationships/hyperlink" Target="https://www.bing.com/th?id=OSK.c60a0f4c3f7d84f6a4b25ab43816edac&amp;qlt=95" TargetMode="External"/><Relationship Id="rId32" Type="http://schemas.openxmlformats.org/officeDocument/2006/relationships/hyperlink" Target="https://www.bing.com/images/search?form=xlimg&amp;q=Quezon%20City" TargetMode="External"/><Relationship Id="rId37" Type="http://schemas.openxmlformats.org/officeDocument/2006/relationships/hyperlink" Target="https://www.bing.com/th?id=OSK.f0daa471916dd24695273d7899f5c9fe&amp;qlt=95" TargetMode="External"/><Relationship Id="rId53" Type="http://schemas.openxmlformats.org/officeDocument/2006/relationships/hyperlink" Target="https://www.bing.com/th?id=OSK.e193cc5960381609184983e61770ba95&amp;qlt=95" TargetMode="External"/><Relationship Id="rId58" Type="http://schemas.openxmlformats.org/officeDocument/2006/relationships/hyperlink" Target="https://www.bing.com/images/search?form=xlimg&amp;q=Mandurriao" TargetMode="External"/><Relationship Id="rId74" Type="http://schemas.openxmlformats.org/officeDocument/2006/relationships/hyperlink" Target="https://www.bing.com/images/search?form=xlimg&amp;q=Roxas,%20Palawan" TargetMode="External"/><Relationship Id="rId79" Type="http://schemas.openxmlformats.org/officeDocument/2006/relationships/hyperlink" Target="https://www.bing.com/th?id=OSK.ba2ca42ef7bc30105c6734ca8bea807d&amp;qlt=95" TargetMode="External"/><Relationship Id="rId24" Type="http://schemas.openxmlformats.org/officeDocument/2006/relationships/hyperlink" Target="https://www.bing.com/images/search?form=xlimg&amp;q=Carmona,%20Cavite" TargetMode="External"/><Relationship Id="rId40" Type="http://schemas.openxmlformats.org/officeDocument/2006/relationships/hyperlink" Target="https://www.bing.com/images/search?form=xlimg&amp;q=Imus" TargetMode="External"/><Relationship Id="rId45" Type="http://schemas.openxmlformats.org/officeDocument/2006/relationships/hyperlink" Target="https://www.bing.com/th?id=OSK.605508f37dbd5877db112cf420000b27&amp;qlt=95" TargetMode="External"/><Relationship Id="rId66" Type="http://schemas.openxmlformats.org/officeDocument/2006/relationships/hyperlink" Target="https://www.bing.com/images/search?form=xlimg&amp;q=Ozamiz" TargetMode="External"/><Relationship Id="rId87" Type="http://schemas.openxmlformats.org/officeDocument/2006/relationships/hyperlink" Target="https://www.bing.com/th?id=OSK.19256dc43f82124525cd08433a18ae3d&amp;qlt=95" TargetMode="External"/><Relationship Id="rId5" Type="http://schemas.openxmlformats.org/officeDocument/2006/relationships/hyperlink" Target="https://www.bing.com/th?id=OSK.f780b68a68cfb04e90791e245cb321b7&amp;qlt=95" TargetMode="External"/><Relationship Id="rId90" Type="http://schemas.openxmlformats.org/officeDocument/2006/relationships/hyperlink" Target="https://www.bing.com/images/search?form=xlimg&amp;q=Tarlac" TargetMode="External"/><Relationship Id="rId95" Type="http://schemas.openxmlformats.org/officeDocument/2006/relationships/hyperlink" Target="https://www.bing.com/th?id=OSK.12128a4f46c3bda9c924f9d522b512d2&amp;qlt=95" TargetMode="External"/><Relationship Id="rId61" Type="http://schemas.openxmlformats.org/officeDocument/2006/relationships/hyperlink" Target="https://www.bing.com/th?id=OSK.1de2d9082f496865e425818cef8c36cb&amp;qlt=95" TargetMode="External"/><Relationship Id="rId82" Type="http://schemas.openxmlformats.org/officeDocument/2006/relationships/hyperlink" Target="https://www.bing.com/images/search?form=xlimg&amp;q=Tacloban" TargetMode="External"/><Relationship Id="rId19" Type="http://schemas.openxmlformats.org/officeDocument/2006/relationships/hyperlink" Target="https://www.bing.com/th?id=OSK.face823e1d6bbcfb94ea86dda9b2ace2&amp;qlt=95" TargetMode="External"/><Relationship Id="rId22" Type="http://schemas.openxmlformats.org/officeDocument/2006/relationships/hyperlink" Target="https://www.bing.com/images/search?form=xlimg&amp;q=Calasiao" TargetMode="External"/><Relationship Id="rId27" Type="http://schemas.openxmlformats.org/officeDocument/2006/relationships/hyperlink" Target="https://www.bing.com/th?id=OSK.8801927a6b0a9bb4e5a1509b318fb49d&amp;qlt=95" TargetMode="External"/><Relationship Id="rId43" Type="http://schemas.openxmlformats.org/officeDocument/2006/relationships/hyperlink" Target="https://www.bing.com/th?id=OSK.c9bb03c35f696f7f8df55880cf44363a&amp;qlt=95" TargetMode="External"/><Relationship Id="rId48" Type="http://schemas.openxmlformats.org/officeDocument/2006/relationships/hyperlink" Target="https://www.bing.com/images/search?form=xlimg&amp;q=Laoag" TargetMode="External"/><Relationship Id="rId64" Type="http://schemas.openxmlformats.org/officeDocument/2006/relationships/hyperlink" Target="https://www.bing.com/images/search?form=xlimg&amp;q=Ormoc" TargetMode="External"/><Relationship Id="rId69" Type="http://schemas.openxmlformats.org/officeDocument/2006/relationships/hyperlink" Target="https://www.bing.com/th?id=OSK.661b9dc81f86d470bcac9b1c7f94f78e&amp;qlt=95" TargetMode="External"/><Relationship Id="rId14" Type="http://schemas.openxmlformats.org/officeDocument/2006/relationships/hyperlink" Target="https://www.bing.com/images/search?form=xlimg&amp;q=Lipa,%20Batangas" TargetMode="External"/><Relationship Id="rId30" Type="http://schemas.openxmlformats.org/officeDocument/2006/relationships/hyperlink" Target="https://www.bing.com/images/search?form=xlimg&amp;q=Dumaguete" TargetMode="External"/><Relationship Id="rId35" Type="http://schemas.openxmlformats.org/officeDocument/2006/relationships/hyperlink" Target="https://www.bing.com/th?id=OSK.f3cd532a3fb8bee59ef771573b7670d4&amp;qlt=95" TargetMode="External"/><Relationship Id="rId56" Type="http://schemas.openxmlformats.org/officeDocument/2006/relationships/hyperlink" Target="https://www.bing.com/images/search?form=xlimg&amp;q=Mandaue" TargetMode="External"/><Relationship Id="rId77" Type="http://schemas.openxmlformats.org/officeDocument/2006/relationships/hyperlink" Target="https://www.bing.com/th?id=OSK.327a89a704bd4b1c22afdc56177db902&amp;qlt=95" TargetMode="External"/><Relationship Id="rId100" Type="http://schemas.openxmlformats.org/officeDocument/2006/relationships/hyperlink" Target="https://www.bing.com/images/search?form=xlimg&amp;q=Zamboanga%20City" TargetMode="External"/><Relationship Id="rId80" Type="http://schemas.openxmlformats.org/officeDocument/2006/relationships/hyperlink" Target="https://www.bing.com/images/search?form=xlimg&amp;q=Subic,%20Zambales" TargetMode="External"/><Relationship Id="rId85" Type="http://schemas.openxmlformats.org/officeDocument/2006/relationships/hyperlink" Target="https://www.bing.com/th?id=OSK.74ecaff0c5baa8bad25be00d72909695&amp;qlt=95" TargetMode="External"/><Relationship Id="rId8" Type="http://schemas.openxmlformats.org/officeDocument/2006/relationships/hyperlink" Target="https://www.bing.com/images/search?form=xlimg&amp;q=Baguio" TargetMode="External"/><Relationship Id="rId51" Type="http://schemas.openxmlformats.org/officeDocument/2006/relationships/hyperlink" Target="https://www.bing.com/th?id=OSK.2e5566d6af1d9d59fdbee2fbc37254e5&amp;qlt=95" TargetMode="External"/><Relationship Id="rId72" Type="http://schemas.openxmlformats.org/officeDocument/2006/relationships/hyperlink" Target="https://www.bing.com/images/search?form=xlimg&amp;q=Pili,%20Camarines%20Sur" TargetMode="External"/><Relationship Id="rId93" Type="http://schemas.openxmlformats.org/officeDocument/2006/relationships/hyperlink" Target="https://www.bing.com/th?id=OSK.2a779b43a2c85765e6307456648c06aa&amp;qlt=95" TargetMode="External"/><Relationship Id="rId98" Type="http://schemas.openxmlformats.org/officeDocument/2006/relationships/hyperlink" Target="https://www.bing.com/images/search?form=xlimg&amp;q=Valenzuela,%20Metro%20Manila" TargetMode="External"/><Relationship Id="rId3" Type="http://schemas.openxmlformats.org/officeDocument/2006/relationships/hyperlink" Target="https://www.bing.com/th?id=OSK.18eaf69c62820a657eaa3dd162e4a0d0&amp;qlt=95" TargetMode="External"/><Relationship Id="rId12" Type="http://schemas.openxmlformats.org/officeDocument/2006/relationships/hyperlink" Target="https://www.bing.com/images/search?form=xlimg&amp;q=Batangas" TargetMode="External"/><Relationship Id="rId17" Type="http://schemas.openxmlformats.org/officeDocument/2006/relationships/hyperlink" Target="https://www.bing.com/th?id=OSK.a4cea7f4cb7c7875cffceb96b1e9c591&amp;qlt=95" TargetMode="External"/><Relationship Id="rId25" Type="http://schemas.openxmlformats.org/officeDocument/2006/relationships/hyperlink" Target="https://www.bing.com/th?id=OSK.054f4f9032a7e072d895e0c39c8bc557&amp;qlt=95" TargetMode="External"/><Relationship Id="rId33" Type="http://schemas.openxmlformats.org/officeDocument/2006/relationships/hyperlink" Target="https://www.bing.com/th?id=OSK.092c0ec9b58ddc74db9994c09da3fd21&amp;qlt=95" TargetMode="External"/><Relationship Id="rId38" Type="http://schemas.openxmlformats.org/officeDocument/2006/relationships/hyperlink" Target="https://www.bing.com/images/search?form=xlimg&amp;q=Iloilo" TargetMode="External"/><Relationship Id="rId46" Type="http://schemas.openxmlformats.org/officeDocument/2006/relationships/hyperlink" Target="https://www.bing.com/images/search?form=xlimg&amp;q=La%20Union" TargetMode="External"/><Relationship Id="rId59" Type="http://schemas.openxmlformats.org/officeDocument/2006/relationships/hyperlink" Target="https://www.bing.com/th?id=OSK.b3c4f32814c5bc762e436922d2a62816&amp;qlt=95" TargetMode="External"/><Relationship Id="rId67" Type="http://schemas.openxmlformats.org/officeDocument/2006/relationships/hyperlink" Target="https://www.bing.com/th?id=OSK.57e8ef5c99861f4f9a798eebf6821487&amp;qlt=95" TargetMode="External"/><Relationship Id="rId20" Type="http://schemas.openxmlformats.org/officeDocument/2006/relationships/hyperlink" Target="https://www.bing.com/images/search?form=xlimg&amp;q=Cagayan%20de%20Oro" TargetMode="External"/><Relationship Id="rId41" Type="http://schemas.openxmlformats.org/officeDocument/2006/relationships/hyperlink" Target="https://www.bing.com/th?id=OSK.71cad54098c2e4e9abf62d4feaa1b0e3&amp;qlt=95" TargetMode="External"/><Relationship Id="rId54" Type="http://schemas.openxmlformats.org/officeDocument/2006/relationships/hyperlink" Target="https://www.bing.com/images/search?form=xlimg&amp;q=Malolos" TargetMode="External"/><Relationship Id="rId62" Type="http://schemas.openxmlformats.org/officeDocument/2006/relationships/hyperlink" Target="https://www.bing.com/images/search?form=xlimg&amp;q=Orani" TargetMode="External"/><Relationship Id="rId70" Type="http://schemas.openxmlformats.org/officeDocument/2006/relationships/hyperlink" Target="https://www.bing.com/images/search?form=xlimg&amp;q=Palawan" TargetMode="External"/><Relationship Id="rId75" Type="http://schemas.openxmlformats.org/officeDocument/2006/relationships/hyperlink" Target="https://www.bing.com/th?id=OSK.d052607fb8dc249fb418542acb82ce10&amp;qlt=95" TargetMode="External"/><Relationship Id="rId83" Type="http://schemas.openxmlformats.org/officeDocument/2006/relationships/hyperlink" Target="https://www.bing.com/th?id=OSK.955d3a42797ae4b3b55aea40fd66aee8&amp;qlt=95" TargetMode="External"/><Relationship Id="rId88" Type="http://schemas.openxmlformats.org/officeDocument/2006/relationships/hyperlink" Target="https://www.bing.com/images/search?form=xlimg&amp;q=Talisay,%20Negros%20Occidental" TargetMode="External"/><Relationship Id="rId91" Type="http://schemas.openxmlformats.org/officeDocument/2006/relationships/hyperlink" Target="https://www.bing.com/th?id=OSK.22338aa1dfc8e978580a423c8eafa86f&amp;qlt=95" TargetMode="External"/><Relationship Id="rId96" Type="http://schemas.openxmlformats.org/officeDocument/2006/relationships/hyperlink" Target="https://www.bing.com/images/search?form=xlimg&amp;q=Urdaneta,%20Pangasinan" TargetMode="External"/><Relationship Id="rId1" Type="http://schemas.openxmlformats.org/officeDocument/2006/relationships/hyperlink" Target="https://www.bing.com/th?id=OSK.1a2ea16455864f3c26c9c51c97a68dc1&amp;qlt=95" TargetMode="External"/><Relationship Id="rId6" Type="http://schemas.openxmlformats.org/officeDocument/2006/relationships/hyperlink" Target="https://www.bing.com/images/search?form=xlimg&amp;q=Bacolod" TargetMode="External"/><Relationship Id="rId15" Type="http://schemas.openxmlformats.org/officeDocument/2006/relationships/hyperlink" Target="https://www.bing.com/th?id=OSK.e62ac215a576636463e7a40877bff98e&amp;qlt=95" TargetMode="External"/><Relationship Id="rId23" Type="http://schemas.openxmlformats.org/officeDocument/2006/relationships/hyperlink" Target="https://www.bing.com/th?id=OSK.1e6d1ff898b74157df8ae617afcd6d43&amp;qlt=95" TargetMode="External"/><Relationship Id="rId28" Type="http://schemas.openxmlformats.org/officeDocument/2006/relationships/hyperlink" Target="https://www.bing.com/images/search?form=xlimg&amp;q=Isabela%20(province)" TargetMode="External"/><Relationship Id="rId36" Type="http://schemas.openxmlformats.org/officeDocument/2006/relationships/hyperlink" Target="https://www.bing.com/images/search?form=xlimg&amp;q=Iligan" TargetMode="External"/><Relationship Id="rId49" Type="http://schemas.openxmlformats.org/officeDocument/2006/relationships/hyperlink" Target="https://www.bing.com/th?id=OSK.d74e9f8ecb898e399d9bd27133300673&amp;qlt=95" TargetMode="External"/><Relationship Id="rId57" Type="http://schemas.openxmlformats.org/officeDocument/2006/relationships/hyperlink" Target="https://www.bing.com/th?id=OSK.3f5a301a998f4e5e169c9ece44f3d3ce&amp;qlt=95" TargetMode="External"/><Relationship Id="rId10" Type="http://schemas.openxmlformats.org/officeDocument/2006/relationships/hyperlink" Target="https://www.bing.com/images/search?form=xlimg&amp;q=Baliwag" TargetMode="External"/><Relationship Id="rId31" Type="http://schemas.openxmlformats.org/officeDocument/2006/relationships/hyperlink" Target="https://www.bing.com/th?id=OSK.dc968cec6c920da93c5700feb5cd0852&amp;qlt=95" TargetMode="External"/><Relationship Id="rId44" Type="http://schemas.openxmlformats.org/officeDocument/2006/relationships/hyperlink" Target="https://www.bing.com/images/search?form=xlimg&amp;q=Kidapawan" TargetMode="External"/><Relationship Id="rId52" Type="http://schemas.openxmlformats.org/officeDocument/2006/relationships/hyperlink" Target="https://www.bing.com/images/search?form=xlimg&amp;q=Makati" TargetMode="External"/><Relationship Id="rId60" Type="http://schemas.openxmlformats.org/officeDocument/2006/relationships/hyperlink" Target="https://www.bing.com/images/search?form=xlimg&amp;q=Marilao" TargetMode="External"/><Relationship Id="rId65" Type="http://schemas.openxmlformats.org/officeDocument/2006/relationships/hyperlink" Target="https://www.bing.com/th?id=OSK.e1a72bfc4959f009868e0e3e7dc8d951&amp;qlt=95" TargetMode="External"/><Relationship Id="rId73" Type="http://schemas.openxmlformats.org/officeDocument/2006/relationships/hyperlink" Target="https://www.bing.com/th?id=OSK.820e059ecd92c979a12a306d2b9c82c5&amp;qlt=95" TargetMode="External"/><Relationship Id="rId78" Type="http://schemas.openxmlformats.org/officeDocument/2006/relationships/hyperlink" Target="https://www.bing.com/images/search?form=xlimg&amp;q=Santa%20Rosa,%20Laguna" TargetMode="External"/><Relationship Id="rId81" Type="http://schemas.openxmlformats.org/officeDocument/2006/relationships/hyperlink" Target="https://www.bing.com/th?id=OSK.ce1f5ec4ec8570e83c246c767ed8c440&amp;qlt=95" TargetMode="External"/><Relationship Id="rId86" Type="http://schemas.openxmlformats.org/officeDocument/2006/relationships/hyperlink" Target="https://www.bing.com/images/search?form=xlimg&amp;q=Tagum" TargetMode="External"/><Relationship Id="rId94" Type="http://schemas.openxmlformats.org/officeDocument/2006/relationships/hyperlink" Target="https://www.bing.com/images/search?form=xlimg&amp;q=Tuguegarao" TargetMode="External"/><Relationship Id="rId99" Type="http://schemas.openxmlformats.org/officeDocument/2006/relationships/hyperlink" Target="https://www.bing.com/th?id=OSK.2b4fb637f3245b88faaa7e6d90c70e29&amp;qlt=95" TargetMode="External"/><Relationship Id="rId4" Type="http://schemas.openxmlformats.org/officeDocument/2006/relationships/hyperlink" Target="https://www.bing.com/images/search?form=xlimg&amp;q=Angeles%20City" TargetMode="External"/><Relationship Id="rId9" Type="http://schemas.openxmlformats.org/officeDocument/2006/relationships/hyperlink" Target="https://www.bing.com/th?id=OSK.c0c4152ec21e6805ac000d6d8444abfd&amp;qlt=95" TargetMode="External"/><Relationship Id="rId13" Type="http://schemas.openxmlformats.org/officeDocument/2006/relationships/hyperlink" Target="https://www.bing.com/th?id=OSK.d44d77ce1c224178af2493e08bc0515a&amp;qlt=95" TargetMode="External"/><Relationship Id="rId18" Type="http://schemas.openxmlformats.org/officeDocument/2006/relationships/hyperlink" Target="https://www.bing.com/images/search?form=xlimg&amp;q=Cabanatuan" TargetMode="External"/><Relationship Id="rId39" Type="http://schemas.openxmlformats.org/officeDocument/2006/relationships/hyperlink" Target="https://www.bing.com/th?id=OSK.99e03dadc308d4ebeb2b7e189452ddff&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Srd>
</file>

<file path=xl/richData/rdarray.xml><?xml version="1.0" encoding="utf-8"?>
<arrayData xmlns="http://schemas.microsoft.com/office/spreadsheetml/2017/richdata2" count="49">
  <a r="1">
    <v t="r">16</v>
  </a>
  <a r="1">
    <v t="s">Philippine Standard Time</v>
  </a>
  <a r="1">
    <v t="r">28</v>
  </a>
  <a r="1">
    <v t="r">39</v>
  </a>
  <a r="1">
    <v t="r">50</v>
  </a>
  <a r="1">
    <v t="r">61</v>
  </a>
  <a r="1">
    <v t="r">69</v>
  </a>
  <a r="1">
    <v t="r">80</v>
  </a>
  <a r="1">
    <v t="r">91</v>
  </a>
  <a r="1">
    <v t="r">102</v>
  </a>
  <a r="1">
    <v t="r">113</v>
  </a>
  <a r="1">
    <v t="r">124</v>
  </a>
  <a r="1">
    <v t="r">135</v>
  </a>
  <a r="1">
    <v t="r">144</v>
  </a>
  <a r="1">
    <v t="r">154</v>
  </a>
  <a r="1">
    <v t="r">164</v>
  </a>
  <a r="1">
    <v t="r">175</v>
  </a>
  <a r="1">
    <v t="r">186</v>
  </a>
  <a r="1">
    <v t="r">196</v>
  </a>
  <a r="1">
    <v t="r">205</v>
  </a>
  <a r="1">
    <v t="r">216</v>
  </a>
  <a r="1">
    <v t="r">227</v>
  </a>
  <a r="1">
    <v t="r">237</v>
  </a>
  <a r="1">
    <v t="r">247</v>
  </a>
  <a r="1">
    <v t="r">257</v>
  </a>
  <a r="1">
    <v t="r">268</v>
  </a>
  <a r="1">
    <v t="r">278</v>
  </a>
  <a r="1">
    <v t="r">289</v>
  </a>
  <a r="1">
    <v t="r">299</v>
  </a>
  <a r="1">
    <v t="r">309</v>
  </a>
  <a r="1">
    <v t="r">320</v>
  </a>
  <a r="1">
    <v t="r">331</v>
  </a>
  <a r="1">
    <v t="r">342</v>
  </a>
  <a r="1">
    <v t="r">360</v>
  </a>
  <a r="1">
    <v t="r">370</v>
  </a>
  <a r="1">
    <v t="r">380</v>
  </a>
  <a r="1">
    <v t="r">391</v>
  </a>
  <a r="1">
    <v t="r">400</v>
  </a>
  <a r="1">
    <v t="r">411</v>
  </a>
  <a r="1">
    <v t="r">422</v>
  </a>
  <a r="1">
    <v t="r">433</v>
  </a>
  <a r="1">
    <v t="r">443</v>
  </a>
  <a r="1">
    <v t="r">453</v>
  </a>
  <a r="1">
    <v t="r">463</v>
  </a>
  <a r="1">
    <v t="r">472</v>
  </a>
  <a r="1">
    <v t="r">483</v>
  </a>
  <a r="1">
    <v t="r">493</v>
  </a>
  <a r="1">
    <v t="r">503</v>
  </a>
  <a r="1">
    <v t="r">512</v>
  </a>
</arrayData>
</file>

<file path=xl/richData/rdrichvalue.xml><?xml version="1.0" encoding="utf-8"?>
<rvData xmlns="http://schemas.microsoft.com/office/spreadsheetml/2017/richdata" count="518">
  <rv s="0">
    <v>536870912</v>
    <v>Alabang</v>
    <v>41738cca-83f7-f07d-2029-e4f11b08baad</v>
    <v>en-US</v>
    <v>Map</v>
  </rv>
  <rv s="0">
    <v>536870912</v>
    <v>Metro Manila</v>
    <v>e5a6d40a-2913-d8a4-ff60-8a8e01d06a21</v>
    <v>en-US</v>
    <v>Map</v>
  </rv>
  <rv s="0">
    <v>536870912</v>
    <v>Muntinlupa</v>
    <v>f2359f71-324a-401c-1c0e-005c15051ea8</v>
    <v>en-US</v>
    <v>Map</v>
  </rv>
  <rv s="1">
    <fb>8.0640000000000001</fb>
    <v>9</v>
  </rv>
  <rv s="0">
    <v>536870912</v>
    <v>Philippines</v>
    <v>fe47e182-43d6-4546-8bee-86609d6dd805</v>
    <v>en-US</v>
    <v>Map</v>
  </rv>
  <rv s="2">
    <v>0</v>
    <v>7</v>
    <v>1</v>
    <v>7</v>
    <v>0</v>
    <v>Image of Alabang</v>
  </rv>
  <rv s="1">
    <fb>14.419</fb>
    <v>10</v>
  </rv>
  <rv s="3">
    <v>https://www.bing.com/search?q=ayala+alabang&amp;form=skydnc</v>
    <v>Learn more on Bing</v>
  </rv>
  <rv s="1">
    <fb>121.044</fb>
    <v>10</v>
  </rv>
  <rv s="1">
    <fb>71075</fb>
    <v>9</v>
  </rv>
  <rv s="4">
    <v>#VALUE!</v>
    <v>en-US</v>
    <v>41738cca-83f7-f07d-2029-e4f11b08baad</v>
    <v>536870912</v>
    <v>1</v>
    <v>2</v>
    <v>3</v>
    <v>Alabang</v>
    <v>5</v>
    <v>6</v>
    <v>Map</v>
    <v>7</v>
    <v>8</v>
    <v>1</v>
    <v>2</v>
    <v>3</v>
    <v>4</v>
    <v>Alabang is a barangay in Muntinlupa, Philippines. At one time the area was a farming district, and has since grown from a village to a major commercial center, which includes the Filinvest City and Madrigal Business Park, and a transportation ...</v>
    <v>5</v>
    <v>6</v>
    <v>7</v>
    <v>8</v>
    <v>Alabang</v>
    <v>9</v>
    <v>Alabang</v>
    <v>mdp/vdpid/7897983149315981313</v>
  </rv>
  <rv s="0">
    <v>536870912</v>
    <v>Angeles City</v>
    <v>a07352dc-186d-f087-4091-469c33edd541</v>
    <v>en-US</v>
    <v>Map</v>
  </rv>
  <rv s="0">
    <v>536870912</v>
    <v>Pampanga</v>
    <v>a8f8bc92-c955-7450-e34a-846fb8708548</v>
    <v>en-US</v>
    <v>Map</v>
  </rv>
  <rv s="1">
    <fb>60.27</fb>
    <v>9</v>
  </rv>
  <rv s="2">
    <v>1</v>
    <v>7</v>
    <v>11</v>
    <v>7</v>
    <v>0</v>
    <v>Image of Angeles City</v>
  </rv>
  <rv s="1">
    <fb>15.1471805555556</fb>
    <v>10</v>
  </rv>
  <rv s="0">
    <v>805306368</v>
    <v>Carmelo G. Lazatin Jr. (Mayor)</v>
    <v>8853aa25-ac3f-f297-6917-2313d4e6e082</v>
    <v>en-US</v>
    <v>Generic</v>
  </rv>
  <rv s="5">
    <v>0</v>
  </rv>
  <rv s="3">
    <v>https://www.bing.com/search?q=angeles+philippines&amp;form=skydnc</v>
    <v>Learn more on Bing</v>
  </rv>
  <rv s="1">
    <fb>120.58473333333301</fb>
    <v>10</v>
  </rv>
  <rv s="1">
    <fb>462928</fb>
    <v>9</v>
  </rv>
  <rv s="5">
    <v>1</v>
  </rv>
  <rv s="6">
    <v>#VALUE!</v>
    <v>en-US</v>
    <v>a07352dc-186d-f087-4091-469c33edd541</v>
    <v>536870912</v>
    <v>1</v>
    <v>12</v>
    <v>13</v>
    <v>Angeles City</v>
    <v>5</v>
    <v>6</v>
    <v>Map</v>
    <v>7</v>
    <v>8</v>
    <v>12</v>
    <v>13</v>
    <v>4</v>
    <v>Angeles, officially the City of Angeles, is a 1st class highly urbanized city in the Central Luzon region of the Philippines. According to the 2020 census, it has a population of 462,928 people. While Angeles City is politically independent from ...</v>
    <v>14</v>
    <v>15</v>
    <v>17</v>
    <v>18</v>
    <v>19</v>
    <v>Angeles City</v>
    <v>20</v>
    <v>21</v>
    <v>Angeles City</v>
    <v>mdp/vdpid/7897533766384484353</v>
  </rv>
  <rv s="0">
    <v>536870912</v>
    <v>Bacolod</v>
    <v>7db13185-8204-2a07-9286-8b417d8031a6</v>
    <v>en-US</v>
    <v>Map</v>
  </rv>
  <rv s="0">
    <v>536870912</v>
    <v>Negros Occidental</v>
    <v>9124c64a-51fe-8970-69e4-28507542e45f</v>
    <v>en-US</v>
    <v>Map</v>
  </rv>
  <rv s="1">
    <fb>162.66999999999999</fb>
    <v>9</v>
  </rv>
  <rv s="2">
    <v>2</v>
    <v>7</v>
    <v>14</v>
    <v>7</v>
    <v>0</v>
    <v>Image of Bacolod</v>
  </rv>
  <rv s="1">
    <fb>10.676458333333301</fb>
    <v>10</v>
  </rv>
  <rv s="0">
    <v>805306368</v>
    <v>Albee Benitez (Mayor)</v>
    <v>5cb76042-7245-a6df-73e6-9dd7785bba07</v>
    <v>en-US</v>
    <v>Generic</v>
  </rv>
  <rv s="5">
    <v>2</v>
  </rv>
  <rv s="3">
    <v>https://www.bing.com/search?q=bacolod&amp;form=skydnc</v>
    <v>Learn more on Bing</v>
  </rv>
  <rv s="1">
    <fb>122.950916666667</fb>
    <v>10</v>
  </rv>
  <rv s="1">
    <fb>600783</fb>
    <v>9</v>
  </rv>
  <rv s="6">
    <v>#VALUE!</v>
    <v>en-US</v>
    <v>7db13185-8204-2a07-9286-8b417d8031a6</v>
    <v>536870912</v>
    <v>1</v>
    <v>15</v>
    <v>13</v>
    <v>Bacolod</v>
    <v>5</v>
    <v>6</v>
    <v>Map</v>
    <v>7</v>
    <v>8</v>
    <v>24</v>
    <v>25</v>
    <v>4</v>
    <v>Bacolod, officially the City of Bacolod, is a 1st class highly urbanized city in the region of Western Visayas, Philippines. It is the capital of the province of Negros Occidental, where it is geographically situated but governed ...</v>
    <v>26</v>
    <v>27</v>
    <v>29</v>
    <v>30</v>
    <v>31</v>
    <v>Bacolod</v>
    <v>32</v>
    <v>21</v>
    <v>Bacolod</v>
    <v>mdp/vdpid/7911309895595458561</v>
  </rv>
  <rv s="0">
    <v>536870912</v>
    <v>Baguio</v>
    <v>f9f674d6-b06b-c371-bd0b-586828e4349d</v>
    <v>en-US</v>
    <v>Map</v>
  </rv>
  <rv s="0">
    <v>536870912</v>
    <v>Benguet</v>
    <v>7e8657a4-5792-db47-90c7-2604b9aca19f</v>
    <v>en-US</v>
    <v>Map</v>
  </rv>
  <rv s="1">
    <fb>57.51</fb>
    <v>9</v>
  </rv>
  <rv s="2">
    <v>3</v>
    <v>7</v>
    <v>16</v>
    <v>7</v>
    <v>0</v>
    <v>Image of Baguio</v>
  </rv>
  <rv s="1">
    <fb>16.411944444444401</fb>
    <v>10</v>
  </rv>
  <rv s="0">
    <v>805306368</v>
    <v>Benjamin Magalong (Mayor)</v>
    <v>b78ea5a0-c23e-a9e8-ac02-544dbf39c62a</v>
    <v>en-US</v>
    <v>Generic</v>
  </rv>
  <rv s="5">
    <v>3</v>
  </rv>
  <rv s="3">
    <v>https://www.bing.com/search?q=baguio&amp;form=skydnc</v>
    <v>Learn more on Bing</v>
  </rv>
  <rv s="1">
    <fb>120.59333333333301</fb>
    <v>10</v>
  </rv>
  <rv s="1">
    <fb>366358</fb>
    <v>9</v>
  </rv>
  <rv s="7">
    <v>#VALUE!</v>
    <v>en-US</v>
    <v>f9f674d6-b06b-c371-bd0b-586828e4349d</v>
    <v>536870912</v>
    <v>1</v>
    <v>17</v>
    <v>18</v>
    <v>Baguio</v>
    <v>5</v>
    <v>6</v>
    <v>Map</v>
    <v>7</v>
    <v>8</v>
    <v>35</v>
    <v>36</v>
    <v>4</v>
    <v>Baguio, officially the City of Baguio, is a 1st class highly urbanized city in the Cordillera Administrative Region, Philippines. It is known as the "Summer Capital of the Philippines", owing to its cool climate since the city is located ...</v>
    <v>37</v>
    <v>38</v>
    <v>40</v>
    <v>41</v>
    <v>42</v>
    <v>Baguio</v>
    <v>43</v>
    <v>Baguio</v>
    <v>mdp/vdpid/7897265446741606402</v>
  </rv>
  <rv s="0">
    <v>536870912</v>
    <v>Baliwag</v>
    <v>9d5b6fa4-683e-c7d2-acc1-7d69a45699ae</v>
    <v>en-US</v>
    <v>Map</v>
  </rv>
  <rv s="0">
    <v>536870912</v>
    <v>Bulacan</v>
    <v>1976e607-d5fa-a209-60b5-a28c5ff0661d</v>
    <v>en-US</v>
    <v>Map</v>
  </rv>
  <rv s="1">
    <fb>45.05</fb>
    <v>9</v>
  </rv>
  <rv s="2">
    <v>4</v>
    <v>7</v>
    <v>19</v>
    <v>7</v>
    <v>0</v>
    <v>Image of Baliwag</v>
  </rv>
  <rv s="1">
    <fb>14.954000000000001</fb>
    <v>10</v>
  </rv>
  <rv s="0">
    <v>805306368</v>
    <v>Ferdinand Estrella (Mayor)</v>
    <v>03cfa340-2308-2522-29d2-c1cef1473be2</v>
    <v>en-US</v>
    <v>Generic</v>
  </rv>
  <rv s="5">
    <v>4</v>
  </rv>
  <rv s="3">
    <v>https://www.bing.com/search?q=baliuag+bulacan&amp;form=skydnc</v>
    <v>Learn more on Bing</v>
  </rv>
  <rv s="1">
    <fb>120.901</fb>
    <v>10</v>
  </rv>
  <rv s="1">
    <fb>168470</fb>
    <v>9</v>
  </rv>
  <rv s="7">
    <v>#VALUE!</v>
    <v>en-US</v>
    <v>9d5b6fa4-683e-c7d2-acc1-7d69a45699ae</v>
    <v>536870912</v>
    <v>1</v>
    <v>20</v>
    <v>18</v>
    <v>Baliwag</v>
    <v>5</v>
    <v>6</v>
    <v>Map</v>
    <v>7</v>
    <v>8</v>
    <v>46</v>
    <v>47</v>
    <v>4</v>
    <v>Baliwag or Baliuag, officially the City of Baliwag, is a component city in the province of Bulacan, Philippines. According to the 2020 census, it has a population of 168,470 people. Baliuag was founded in 1732 by Augustinian friars and was ...</v>
    <v>48</v>
    <v>49</v>
    <v>51</v>
    <v>52</v>
    <v>53</v>
    <v>Baliwag</v>
    <v>54</v>
    <v>Baliwag</v>
    <v>mdp/vdpid/7897550094877065217</v>
  </rv>
  <rv s="0">
    <v>536870912</v>
    <v>Batangas</v>
    <v>f77aee21-102e-f6f4-cd8b-795951928807</v>
    <v>en-US</v>
    <v>Map</v>
  </rv>
  <rv s="1">
    <fb>3119.75</fb>
    <v>9</v>
  </rv>
  <rv s="0">
    <v>536870912</v>
    <v>Batangas City</v>
    <v>091badd2-9b03-a333-3e3a-a1cacea9be48</v>
    <v>en-US</v>
    <v>Map</v>
  </rv>
  <rv s="2">
    <v>5</v>
    <v>7</v>
    <v>21</v>
    <v>7</v>
    <v>0</v>
    <v>Image of Batangas</v>
  </rv>
  <rv s="0">
    <v>536870912</v>
    <v>Lipa</v>
    <v>a9a725f1-451c-3b36-826e-159417cc0fe1</v>
    <v>en-US</v>
    <v>Map</v>
  </rv>
  <rv s="0">
    <v>805306368</v>
    <v>Hermilando Mandanas (Governor)</v>
    <v>c2f33053-263b-807f-b4b4-d545694c7de9</v>
    <v>en-US</v>
    <v>Generic</v>
  </rv>
  <rv s="5">
    <v>5</v>
  </rv>
  <rv s="3">
    <v>https://www.bing.com/search?q=batangas&amp;form=skydnc</v>
    <v>Learn more on Bing</v>
  </rv>
  <rv s="1">
    <fb>2908494</fb>
    <v>9</v>
  </rv>
  <rv s="8">
    <v>#VALUE!</v>
    <v>en-US</v>
    <v>f77aee21-102e-f6f4-cd8b-795951928807</v>
    <v>536870912</v>
    <v>1</v>
    <v>23</v>
    <v>24</v>
    <v>Batangas</v>
    <v>5</v>
    <v>6</v>
    <v>Map</v>
    <v>7</v>
    <v>8</v>
    <v>PH-BTG</v>
    <v>57</v>
    <v>58</v>
    <v>4</v>
    <v>Batangas, officially the Province of Batangas, is a first class province of the Philippines located on the southwestern part of Luzon in the CALABARZON region. Its capital is the city of Batangas, and is bordered by the provinces of Cavite and ...</v>
    <v>59</v>
    <v>60</v>
    <v>62</v>
    <v>63</v>
    <v>Batangas</v>
    <v>64</v>
    <v>21</v>
    <v>Batangas</v>
    <v>mdp/vdpid/-7996910240</v>
  </rv>
  <rv s="1">
    <fb>209.4</fb>
    <v>9</v>
  </rv>
  <rv s="2">
    <v>6</v>
    <v>7</v>
    <v>25</v>
    <v>7</v>
    <v>0</v>
    <v>Image of Lipa, Batangas</v>
  </rv>
  <rv s="1">
    <fb>13.941111111111001</fb>
    <v>10</v>
  </rv>
  <rv s="0">
    <v>805306368</v>
    <v>Eric B. Africa (Mayor)</v>
    <v>9f4d13ca-aa5e-075b-82a8-d896aaab47a6</v>
    <v>en-US</v>
    <v>Generic</v>
  </rv>
  <rv s="5">
    <v>6</v>
  </rv>
  <rv s="3">
    <v>https://www.bing.com/search?q=lipa%2c+batangas&amp;form=skydnc</v>
    <v>Learn more on Bing</v>
  </rv>
  <rv s="1">
    <fb>121.16222222222</fb>
    <v>10</v>
  </rv>
  <rv s="1">
    <fb>372931</fb>
    <v>9</v>
  </rv>
  <rv s="7">
    <v>#VALUE!</v>
    <v>en-US</v>
    <v>a9a725f1-451c-3b36-826e-159417cc0fe1</v>
    <v>536870912</v>
    <v>1</v>
    <v>26</v>
    <v>18</v>
    <v>Lipa, Batangas</v>
    <v>5</v>
    <v>6</v>
    <v>Map</v>
    <v>7</v>
    <v>8</v>
    <v>56</v>
    <v>66</v>
    <v>4</v>
    <v>Lipa, officially the City of Lipa, is a 1st class component city in the province of Batangas, Philippines. According to the 2020 census, it has a population of 372,931 people. It is the first city charter in the province and one of five cities ...</v>
    <v>67</v>
    <v>68</v>
    <v>70</v>
    <v>71</v>
    <v>72</v>
    <v>Lipa, Batangas</v>
    <v>73</v>
    <v>Lipa, Batangas</v>
    <v>mdp/vdpid/7898755190692511745</v>
  </rv>
  <rv s="0">
    <v>536870912</v>
    <v>Butuan</v>
    <v>726d6be5-e7a6-0a04-1ec8-a624e408963f</v>
    <v>en-US</v>
    <v>Map</v>
  </rv>
  <rv s="0">
    <v>536870912</v>
    <v>Agusan del Norte</v>
    <v>1d396096-557b-6793-a2b7-a4c20b51f0d0</v>
    <v>en-US</v>
    <v>Map</v>
  </rv>
  <rv s="1">
    <fb>816.62</fb>
    <v>9</v>
  </rv>
  <rv s="2">
    <v>7</v>
    <v>7</v>
    <v>27</v>
    <v>7</v>
    <v>0</v>
    <v>Image of Butuan</v>
  </rv>
  <rv s="1">
    <fb>8.9534000000000002</fb>
    <v>10</v>
  </rv>
  <rv s="0">
    <v>805306368</v>
    <v>Ronnie Vicente Lagnada (Mayor)</v>
    <v>d74638dd-c75a-0081-697b-42844eaad155</v>
    <v>en-US</v>
    <v>Generic</v>
  </rv>
  <rv s="5">
    <v>7</v>
  </rv>
  <rv s="3">
    <v>https://www.bing.com/search?q=butuan&amp;form=skydnc</v>
    <v>Learn more on Bing</v>
  </rv>
  <rv s="1">
    <fb>125.5288</fb>
    <v>10</v>
  </rv>
  <rv s="1">
    <fb>372910</fb>
    <v>9</v>
  </rv>
  <rv s="7">
    <v>#VALUE!</v>
    <v>en-US</v>
    <v>726d6be5-e7a6-0a04-1ec8-a624e408963f</v>
    <v>536870912</v>
    <v>1</v>
    <v>28</v>
    <v>18</v>
    <v>Butuan</v>
    <v>5</v>
    <v>6</v>
    <v>Map</v>
    <v>7</v>
    <v>8</v>
    <v>76</v>
    <v>77</v>
    <v>4</v>
    <v>Butuan, officially the City of Butuan, is a 1st class highly urbanized city in the region of Caraga, Philippines. It is the de facto capital of the province of Agusan del Norte where it is geographically situated but has an administratively ...</v>
    <v>78</v>
    <v>79</v>
    <v>81</v>
    <v>82</v>
    <v>83</v>
    <v>Butuan</v>
    <v>84</v>
    <v>Butuan</v>
    <v>mdp/vdpid/7917832949939044353</v>
  </rv>
  <rv s="0">
    <v>536870912</v>
    <v>Cabanatuan</v>
    <v>f03fe462-07cb-ddb0-6c0d-3fdb9baa2a7a</v>
    <v>en-US</v>
    <v>Map</v>
  </rv>
  <rv s="0">
    <v>536870912</v>
    <v>Nueva Ecija</v>
    <v>e5430242-c181-bbba-a8d5-d8679420d015</v>
    <v>en-US</v>
    <v>Map</v>
  </rv>
  <rv s="1">
    <fb>192.29</fb>
    <v>9</v>
  </rv>
  <rv s="2">
    <v>8</v>
    <v>7</v>
    <v>29</v>
    <v>7</v>
    <v>0</v>
    <v>Image of Cabanatuan</v>
  </rv>
  <rv s="1">
    <fb>15.490833333333301</fb>
    <v>10</v>
  </rv>
  <rv s="0">
    <v>805306368</v>
    <v>Myca Elizabeth R. Vergara (Mayor)</v>
    <v>7b668882-b72c-a100-5aa3-5acc9a3dbe0c</v>
    <v>en-US</v>
    <v>Generic</v>
  </rv>
  <rv s="5">
    <v>8</v>
  </rv>
  <rv s="3">
    <v>https://www.bing.com/search?q=cabanatuan+city&amp;form=skydnc</v>
    <v>Learn more on Bing</v>
  </rv>
  <rv s="1">
    <fb>120.967777777778</fb>
    <v>10</v>
  </rv>
  <rv s="1">
    <fb>327325</fb>
    <v>9</v>
  </rv>
  <rv s="7">
    <v>#VALUE!</v>
    <v>en-US</v>
    <v>f03fe462-07cb-ddb0-6c0d-3fdb9baa2a7a</v>
    <v>536870912</v>
    <v>1</v>
    <v>30</v>
    <v>18</v>
    <v>Cabanatuan</v>
    <v>5</v>
    <v>6</v>
    <v>Map</v>
    <v>7</v>
    <v>8</v>
    <v>87</v>
    <v>88</v>
    <v>4</v>
    <v>Cabanatuan, officially the City of Cabanatuan, is a 1st class component city in the province of Nueva Ecija, Philippines. According to the 2020 census, it has a population of 327,325 people, making it the most populous city in Nueva Ecija and ...</v>
    <v>89</v>
    <v>90</v>
    <v>92</v>
    <v>93</v>
    <v>94</v>
    <v>Cabanatuan</v>
    <v>95</v>
    <v>Cabanatuan</v>
    <v>mdp/vdpid/7897907114352312321</v>
  </rv>
  <rv s="0">
    <v>536870912</v>
    <v>Cagayan de Oro</v>
    <v>00aa4c25-52a2-1742-010d-8c096939961c</v>
    <v>en-US</v>
    <v>Map</v>
  </rv>
  <rv s="0">
    <v>536870912</v>
    <v>Misamis Oriental</v>
    <v>53920b42-5d5d-510b-d05f-df387a2297e5</v>
    <v>en-US</v>
    <v>Map</v>
  </rv>
  <rv s="1">
    <fb>412.8</fb>
    <v>9</v>
  </rv>
  <rv s="2">
    <v>9</v>
    <v>7</v>
    <v>31</v>
    <v>7</v>
    <v>0</v>
    <v>Image of Cagayan de Oro</v>
  </rv>
  <rv s="1">
    <fb>8.4833333333333005</fb>
    <v>10</v>
  </rv>
  <rv s="0">
    <v>805306368</v>
    <v>Rolando Uy (Mayor)</v>
    <v>75bcf33f-bcde-9034-8542-a8f2f68c2b1a</v>
    <v>en-US</v>
    <v>Generic</v>
  </rv>
  <rv s="5">
    <v>9</v>
  </rv>
  <rv s="3">
    <v>https://www.bing.com/search?q=cagayan+de+oro&amp;form=skydnc</v>
    <v>Learn more on Bing</v>
  </rv>
  <rv s="1">
    <fb>124.65</fb>
    <v>10</v>
  </rv>
  <rv s="1">
    <fb>728402</fb>
    <v>9</v>
  </rv>
  <rv s="7">
    <v>#VALUE!</v>
    <v>en-US</v>
    <v>00aa4c25-52a2-1742-010d-8c096939961c</v>
    <v>536870912</v>
    <v>1</v>
    <v>32</v>
    <v>18</v>
    <v>Cagayan de Oro</v>
    <v>5</v>
    <v>6</v>
    <v>Map</v>
    <v>7</v>
    <v>8</v>
    <v>98</v>
    <v>99</v>
    <v>4</v>
    <v>Cagayan de Oro, officially the City of Cagayan de Oro, is a 1st class highly urbanized city in the region of Northern Mindanao, Philippines. It is the capital of the province of Misamis Oriental where it is geographically situated but governed ...</v>
    <v>100</v>
    <v>101</v>
    <v>103</v>
    <v>104</v>
    <v>105</v>
    <v>Cagayan de Oro</v>
    <v>106</v>
    <v>Cagayan de Oro</v>
    <v>mdp/vdpid/7917740552072724482</v>
  </rv>
  <rv s="0">
    <v>536870912</v>
    <v>Calasiao</v>
    <v>fdcadbb1-0df7-8ada-791a-00981419721d</v>
    <v>en-US</v>
    <v>Map</v>
  </rv>
  <rv s="0">
    <v>536870912</v>
    <v>Pangasinan</v>
    <v>6c62aac0-e663-ab19-3a75-8e886d38c402</v>
    <v>en-US</v>
    <v>Map</v>
  </rv>
  <rv s="1">
    <fb>48.36</fb>
    <v>9</v>
  </rv>
  <rv s="2">
    <v>10</v>
    <v>7</v>
    <v>33</v>
    <v>7</v>
    <v>0</v>
    <v>Image of Calasiao</v>
  </rv>
  <rv s="1">
    <fb>16.016666666667</fb>
    <v>10</v>
  </rv>
  <rv s="0">
    <v>805306368</v>
    <v>Kevin Roy Q. Macanlalay (Mayor)</v>
    <v>4b4a06f9-7f2a-b046-00c9-38d11d400155</v>
    <v>en-US</v>
    <v>Generic</v>
  </rv>
  <rv s="5">
    <v>10</v>
  </rv>
  <rv s="3">
    <v>https://www.bing.com/search?q=calasiao+pangasinan&amp;form=skydnc</v>
    <v>Learn more on Bing</v>
  </rv>
  <rv s="1">
    <fb>120.36666666667</fb>
    <v>10</v>
  </rv>
  <rv s="1">
    <fb>100471</fb>
    <v>9</v>
  </rv>
  <rv s="7">
    <v>#VALUE!</v>
    <v>en-US</v>
    <v>fdcadbb1-0df7-8ada-791a-00981419721d</v>
    <v>536870912</v>
    <v>1</v>
    <v>34</v>
    <v>18</v>
    <v>Calasiao</v>
    <v>5</v>
    <v>6</v>
    <v>Map</v>
    <v>7</v>
    <v>8</v>
    <v>109</v>
    <v>110</v>
    <v>4</v>
    <v>Calasiao, officially the Municipality of Calasiao, is a 1st class municipality in the province of Pangasinan, Philippines. According to the 2020 census, it has a population of 100,471 people. Today, Calasiao is known as a first class, highly ...</v>
    <v>111</v>
    <v>112</v>
    <v>114</v>
    <v>115</v>
    <v>116</v>
    <v>Calasiao</v>
    <v>117</v>
    <v>Calasiao</v>
    <v>mdp/vdpid/7897310320610246657</v>
  </rv>
  <rv s="0">
    <v>536870912</v>
    <v>Carmona, Cavite</v>
    <v>e5e568a9-550e-a1d6-ba1e-47115aea4121</v>
    <v>en-US</v>
    <v>Map</v>
  </rv>
  <rv s="0">
    <v>536870912</v>
    <v>Cavite</v>
    <v>59ab90bf-7ff8-a433-d78a-2803f3bcc64a</v>
    <v>en-US</v>
    <v>Map</v>
  </rv>
  <rv s="1">
    <fb>29.68</fb>
    <v>9</v>
  </rv>
  <rv s="2">
    <v>11</v>
    <v>7</v>
    <v>35</v>
    <v>7</v>
    <v>0</v>
    <v>Image of Carmona, Cavite</v>
  </rv>
  <rv s="1">
    <fb>14.316666666667</fb>
    <v>10</v>
  </rv>
  <rv s="0">
    <v>805306368</v>
    <v>Dahlia A. Loyola (Mayor)</v>
    <v>823f97eb-d1f2-5a4a-eee9-7ad036060a8e</v>
    <v>en-US</v>
    <v>Generic</v>
  </rv>
  <rv s="5">
    <v>11</v>
  </rv>
  <rv s="3">
    <v>https://www.bing.com/search?q=carmona%2c+cavite+philippines&amp;form=skydnc</v>
    <v>Learn more on Bing</v>
  </rv>
  <rv s="1">
    <fb>121.05</fb>
    <v>10</v>
  </rv>
  <rv s="1">
    <fb>106256</fb>
    <v>9</v>
  </rv>
  <rv s="7">
    <v>#VALUE!</v>
    <v>en-US</v>
    <v>e5e568a9-550e-a1d6-ba1e-47115aea4121</v>
    <v>536870912</v>
    <v>1</v>
    <v>36</v>
    <v>18</v>
    <v>Carmona, Cavite</v>
    <v>5</v>
    <v>6</v>
    <v>Map</v>
    <v>7</v>
    <v>8</v>
    <v>120</v>
    <v>121</v>
    <v>4</v>
    <v>Carmona, officially the City of Carmona, is a 1st class component city in the province of Cavite, Philippines. According to the 2020 census, it has a population of 106,256 people. Carmona is also the newest city in the Philippines, it became a ...</v>
    <v>122</v>
    <v>123</v>
    <v>125</v>
    <v>126</v>
    <v>127</v>
    <v>Carmona, Cavite</v>
    <v>128</v>
    <v>Carmona, Cavite</v>
    <v>mdp/vdpid/7897996033446117378</v>
  </rv>
  <rv s="0">
    <v>536870912</v>
    <v>Cordon, Isabela</v>
    <v>17bc864e-856f-e650-78f8-2ade7eefed7f</v>
    <v>en-US</v>
    <v>Map</v>
  </rv>
  <rv s="0">
    <v>536870912</v>
    <v>Isabela</v>
    <v>67ccbd18-7330-76f8-6466-fb01e3f27483</v>
    <v>en-US</v>
    <v>Map</v>
  </rv>
  <rv s="1">
    <fb>144</fb>
    <v>9</v>
  </rv>
  <rv s="2">
    <v>12</v>
    <v>7</v>
    <v>37</v>
    <v>7</v>
    <v>0</v>
    <v>Image of Cordon, Isabela</v>
  </rv>
  <rv s="1">
    <fb>16.666666666666998</fb>
    <v>10</v>
  </rv>
  <rv s="0">
    <v>805306368</v>
    <v>Lynn M. Zuniega (Mayor)</v>
    <v>770d0896-ab51-7482-f4d1-24ff83843447</v>
    <v>en-US</v>
    <v>Generic</v>
  </rv>
  <rv s="5">
    <v>12</v>
  </rv>
  <rv s="3">
    <v>https://www.bing.com/search?q=cordon+philippines&amp;form=skydnc</v>
    <v>Learn more on Bing</v>
  </rv>
  <rv s="1">
    <fb>121.45</fb>
    <v>10</v>
  </rv>
  <rv s="1">
    <fb>46477</fb>
    <v>9</v>
  </rv>
  <rv s="7">
    <v>#VALUE!</v>
    <v>en-US</v>
    <v>17bc864e-856f-e650-78f8-2ade7eefed7f</v>
    <v>536870912</v>
    <v>1</v>
    <v>38</v>
    <v>18</v>
    <v>Cordon, Isabela</v>
    <v>5</v>
    <v>6</v>
    <v>Map</v>
    <v>7</v>
    <v>8</v>
    <v>131</v>
    <v>132</v>
    <v>4</v>
    <v>Cordon, officially the Municipality of Cordon, is a 2nd class municipality in the province of Isabela, Philippines. According to the 2020 census, it has a population of 46,477 people. Being the town nearest to Santiago City, it became a favored ...</v>
    <v>133</v>
    <v>134</v>
    <v>136</v>
    <v>137</v>
    <v>138</v>
    <v>Cordon, Isabela</v>
    <v>139</v>
    <v>Cordon, Isabela</v>
    <v>mdp/vdpid/7897640622033469441</v>
  </rv>
  <rv s="1">
    <fb>12414.93</fb>
    <v>9</v>
  </rv>
  <rv s="0">
    <v>536870912</v>
    <v>Ilagan</v>
    <v>7379d02f-5606-3181-2268-43888bc337df</v>
    <v>en-US</v>
    <v>Map</v>
  </rv>
  <rv s="2">
    <v>13</v>
    <v>7</v>
    <v>39</v>
    <v>7</v>
    <v>0</v>
    <v>Image of Isabela</v>
  </rv>
  <rv s="0">
    <v>805306368</v>
    <v>Rodolfo Albano III (Governor)</v>
    <v>bbdb55e8-cc2b-5f6b-103f-052ab79c15ed</v>
    <v>en-US</v>
    <v>Generic</v>
  </rv>
  <rv s="5">
    <v>13</v>
  </rv>
  <rv s="3">
    <v>https://www.bing.com/search?q=isabela+province&amp;form=skydnc</v>
    <v>Learn more on Bing</v>
  </rv>
  <rv s="1">
    <fb>1697050</fb>
    <v>9</v>
  </rv>
  <rv s="9">
    <v>#VALUE!</v>
    <v>en-US</v>
    <v>67ccbd18-7330-76f8-6466-fb01e3f27483</v>
    <v>536870912</v>
    <v>1</v>
    <v>41</v>
    <v>42</v>
    <v>Isabela</v>
    <v>5</v>
    <v>6</v>
    <v>Map</v>
    <v>7</v>
    <v>8</v>
    <v>PH-ISA</v>
    <v>141</v>
    <v>142</v>
    <v>4</v>
    <v>Isabela, officially the Province of Isabela, is the second largest province in the Philippines in land area located in the Cagayan Valley. Its capital and the largest local government unit is the city of Ilagan. It is bordered by the provinces ...</v>
    <v>143</v>
    <v>142</v>
    <v>145</v>
    <v>146</v>
    <v>Isabela</v>
    <v>147</v>
    <v>Isabela</v>
    <v>mdp/vdpid/-7996910283</v>
  </rv>
  <rv s="0">
    <v>536870912</v>
    <v>Dumaguete</v>
    <v>67f6623a-d1a0-50e3-7d16-522d18f3fd9f</v>
    <v>en-US</v>
    <v>Map</v>
  </rv>
  <rv s="0">
    <v>536870912</v>
    <v>Negros Oriental</v>
    <v>a810cefa-ce8b-24f9-c464-8563570dddbc</v>
    <v>en-US</v>
    <v>Map</v>
  </rv>
  <rv s="1">
    <fb>33.619999999999997</fb>
    <v>9</v>
  </rv>
  <rv s="2">
    <v>14</v>
    <v>7</v>
    <v>43</v>
    <v>7</v>
    <v>0</v>
    <v>Image of Dumaguete</v>
  </rv>
  <rv s="1">
    <fb>9.3102780000000003</fb>
    <v>10</v>
  </rv>
  <rv s="0">
    <v>805306368</v>
    <v>Felipe Antonio B. Remollo (Mayor)</v>
    <v>4010062a-4be2-1a89-6bfb-14127906617a</v>
    <v>en-US</v>
    <v>Generic</v>
  </rv>
  <rv s="5">
    <v>14</v>
  </rv>
  <rv s="3">
    <v>https://www.bing.com/search?q=dumaguete&amp;form=skydnc</v>
    <v>Learn more on Bing</v>
  </rv>
  <rv s="1">
    <fb>123.30805599999999</fb>
    <v>10</v>
  </rv>
  <rv s="1">
    <fb>134103</fb>
    <v>9</v>
  </rv>
  <rv s="7">
    <v>#VALUE!</v>
    <v>en-US</v>
    <v>67f6623a-d1a0-50e3-7d16-522d18f3fd9f</v>
    <v>536870912</v>
    <v>1</v>
    <v>44</v>
    <v>18</v>
    <v>Dumaguete</v>
    <v>5</v>
    <v>6</v>
    <v>Map</v>
    <v>7</v>
    <v>8</v>
    <v>150</v>
    <v>151</v>
    <v>4</v>
    <v>Dumaguete, officially the City of Dumaguete, and also known as Dumaguete City, is a 3rd income class component city and the capital of the province of Negros Oriental, Philippines. According to the 2020 census, it has a population of 134,103 ...</v>
    <v>152</v>
    <v>153</v>
    <v>155</v>
    <v>156</v>
    <v>157</v>
    <v>Dumaguete</v>
    <v>158</v>
    <v>Dumaguete</v>
    <v>mdp/vdpid/7911617485802045441</v>
  </rv>
  <rv s="0">
    <v>536870912</v>
    <v>Quezon City</v>
    <v>5e001b49-2fd0-4f45-a43f-6c8cdf9ee04c</v>
    <v>en-US</v>
    <v>Map</v>
  </rv>
  <rv s="1">
    <fb>171.71</fb>
    <v>9</v>
  </rv>
  <rv s="2">
    <v>15</v>
    <v>7</v>
    <v>45</v>
    <v>7</v>
    <v>0</v>
    <v>Image of Quezon City</v>
  </rv>
  <rv s="1">
    <fb>14.65</fb>
    <v>10</v>
  </rv>
  <rv s="0">
    <v>805306368</v>
    <v>Joy Belmonte (Mayor)</v>
    <v>f0296806-06a7-7bc6-0f65-48c7f0d41dbf</v>
    <v>en-US</v>
    <v>Generic</v>
  </rv>
  <rv s="5">
    <v>15</v>
  </rv>
  <rv s="3">
    <v>https://www.bing.com/search?q=quezon+city&amp;form=skydnc</v>
    <v>Learn more on Bing</v>
  </rv>
  <rv s="1">
    <fb>121.0475</fb>
    <v>10</v>
  </rv>
  <rv s="1">
    <fb>2960048</fb>
    <v>9</v>
  </rv>
  <rv s="10">
    <v>#VALUE!</v>
    <v>en-US</v>
    <v>5e001b49-2fd0-4f45-a43f-6c8cdf9ee04c</v>
    <v>536870912</v>
    <v>1</v>
    <v>46</v>
    <v>47</v>
    <v>Quezon City</v>
    <v>5</v>
    <v>6</v>
    <v>Map</v>
    <v>7</v>
    <v>8</v>
    <v>1</v>
    <v>161</v>
    <v>4</v>
    <v>Quezon City, also known as the City of Quezon and Q.C., is the most populous city in the Philippines. According to the 2020 census, it has a population of 2,960,048 people. It was founded on October 12, 1939, and was named after Manuel L. ...</v>
    <v>162</v>
    <v>163</v>
    <v>165</v>
    <v>166</v>
    <v>167</v>
    <v>Quezon City</v>
    <v>168</v>
    <v>Quezon City</v>
    <v>mdp/vdpid/7897978519106355201</v>
  </rv>
  <rv s="0">
    <v>536870912</v>
    <v>General Santos</v>
    <v>59979766-000f-5fc7-71a2-6587f7de8b6a</v>
    <v>en-US</v>
    <v>Map</v>
  </rv>
  <rv s="0">
    <v>536870912</v>
    <v>South Cotabato</v>
    <v>4f68ac36-80cf-cb03-603c-a39763ff6a63</v>
    <v>en-US</v>
    <v>Map</v>
  </rv>
  <rv s="1">
    <fb>492.86</fb>
    <v>9</v>
  </rv>
  <rv s="2">
    <v>16</v>
    <v>7</v>
    <v>48</v>
    <v>7</v>
    <v>0</v>
    <v>Image of General Santos</v>
  </rv>
  <rv s="1">
    <fb>6.1166666666667</fb>
    <v>10</v>
  </rv>
  <rv s="0">
    <v>805306368</v>
    <v>Lorelie G. Pacquiao (Mayor)</v>
    <v>b99518fb-cb66-e847-a820-dc64d865547d</v>
    <v>en-US</v>
    <v>Generic</v>
  </rv>
  <rv s="5">
    <v>16</v>
  </rv>
  <rv s="3">
    <v>https://www.bing.com/search?q=general+santos&amp;form=skydnc</v>
    <v>Learn more on Bing</v>
  </rv>
  <rv s="1">
    <fb>125.16666666667</fb>
    <v>10</v>
  </rv>
  <rv s="1">
    <fb>697315</fb>
    <v>9</v>
  </rv>
  <rv s="7">
    <v>#VALUE!</v>
    <v>en-US</v>
    <v>59979766-000f-5fc7-71a2-6587f7de8b6a</v>
    <v>536870912</v>
    <v>1</v>
    <v>49</v>
    <v>18</v>
    <v>General Santos</v>
    <v>5</v>
    <v>6</v>
    <v>Map</v>
    <v>7</v>
    <v>8</v>
    <v>171</v>
    <v>172</v>
    <v>4</v>
    <v>General Santos, officially the City of General Santos, and abbreviated as GenSan, is a 1st class highly urbanized city in the region of Soccsksargen, Philippines. According to the 2020 census, it has a population of 697,315 people.</v>
    <v>173</v>
    <v>174</v>
    <v>176</v>
    <v>177</v>
    <v>178</v>
    <v>General Santos</v>
    <v>179</v>
    <v>General Santos</v>
    <v>mdp/vdpid/7918951125800189953</v>
  </rv>
  <rv s="0">
    <v>536870912</v>
    <v>Iligan</v>
    <v>fa4382ef-168f-5e7a-2464-29abc07f8c75</v>
    <v>en-US</v>
    <v>Map</v>
  </rv>
  <rv s="0">
    <v>536870912</v>
    <v>Lanao del Norte</v>
    <v>53d4a5e4-9974-b921-1dec-e6ed33289570</v>
    <v>en-US</v>
    <v>Map</v>
  </rv>
  <rv s="1">
    <fb>813.37</fb>
    <v>9</v>
  </rv>
  <rv s="2">
    <v>17</v>
    <v>7</v>
    <v>50</v>
    <v>7</v>
    <v>0</v>
    <v>Image of Iligan</v>
  </rv>
  <rv s="1">
    <fb>8.2333333333333005</fb>
    <v>10</v>
  </rv>
  <rv s="0">
    <v>805306368</v>
    <v>Frederick W. Siao (Mayor)</v>
    <v>2e1dd7e5-aed9-1501-5873-ae1e7d3c493d</v>
    <v>en-US</v>
    <v>Generic</v>
  </rv>
  <rv s="5">
    <v>17</v>
  </rv>
  <rv s="3">
    <v>https://www.bing.com/search?q=iligan&amp;form=skydnc</v>
    <v>Learn more on Bing</v>
  </rv>
  <rv s="1">
    <fb>124.25</fb>
    <v>10</v>
  </rv>
  <rv s="1">
    <fb>363115</fb>
    <v>9</v>
  </rv>
  <rv s="7">
    <v>#VALUE!</v>
    <v>en-US</v>
    <v>fa4382ef-168f-5e7a-2464-29abc07f8c75</v>
    <v>536870912</v>
    <v>1</v>
    <v>51</v>
    <v>18</v>
    <v>Iligan</v>
    <v>5</v>
    <v>6</v>
    <v>Map</v>
    <v>7</v>
    <v>8</v>
    <v>182</v>
    <v>183</v>
    <v>4</v>
    <v>Iligan, officially the City of Iligan, is a 1st class highly urbanized city in the region of Northern Mindanao, Philippines. According to the 2020 census, it has a population of 363,115 people. It is geographically within the province of Lanao ...</v>
    <v>184</v>
    <v>185</v>
    <v>187</v>
    <v>188</v>
    <v>189</v>
    <v>Iligan</v>
    <v>190</v>
    <v>Iligan</v>
    <v>mdp/vdpid/7918468020765196289</v>
  </rv>
  <rv s="0">
    <v>536870912</v>
    <v>Iloilo</v>
    <v>068df4d2-959f-8164-d1fd-994cf0150d12</v>
    <v>en-US</v>
    <v>Map</v>
  </rv>
  <rv s="1">
    <fb>5000.83</fb>
    <v>9</v>
  </rv>
  <rv s="0">
    <v>536870912</v>
    <v>Iloilo City</v>
    <v>9afbba2d-5fc1-70bc-b0ac-71999229dace</v>
    <v>en-US</v>
    <v>Map</v>
  </rv>
  <rv s="2">
    <v>18</v>
    <v>7</v>
    <v>52</v>
    <v>7</v>
    <v>0</v>
    <v>Image of Iloilo</v>
  </rv>
  <rv s="0">
    <v>805306368</v>
    <v>Arthur Defensor Jr. (Governor)</v>
    <v>1ebf296a-3a5c-59da-3e3d-d4c315714e3c</v>
    <v>en-US</v>
    <v>Generic</v>
  </rv>
  <rv s="5">
    <v>18</v>
  </rv>
  <rv s="3">
    <v>https://www.bing.com/search?q=iloilo+philippines&amp;form=skydnc</v>
    <v>Learn more on Bing</v>
  </rv>
  <rv s="1">
    <fb>2051899</fb>
    <v>9</v>
  </rv>
  <rv s="9">
    <v>#VALUE!</v>
    <v>en-US</v>
    <v>068df4d2-959f-8164-d1fd-994cf0150d12</v>
    <v>536870912</v>
    <v>1</v>
    <v>54</v>
    <v>42</v>
    <v>Iloilo</v>
    <v>5</v>
    <v>6</v>
    <v>Map</v>
    <v>7</v>
    <v>8</v>
    <v>PH-ILI</v>
    <v>193</v>
    <v>194</v>
    <v>4</v>
    <v>Iloilo, officially the Province of Iloilo, is a province in the Philippines located in the Western Visayas region. Its capital and largest city is Iloilo City, the regional center of Western Visayas. Iloilo occupies a major southeast portion of ...</v>
    <v>195</v>
    <v>194</v>
    <v>197</v>
    <v>198</v>
    <v>Iloilo</v>
    <v>199</v>
    <v>Iloilo</v>
    <v>mdp/vdpid/-7996910282</v>
  </rv>
  <rv s="0">
    <v>536870912</v>
    <v>Imus</v>
    <v>7b227cdf-70b1-e5a6-9b33-aae7890f5cec</v>
    <v>en-US</v>
    <v>Map</v>
  </rv>
  <rv s="1">
    <fb>53.15</fb>
    <v>9</v>
  </rv>
  <rv s="2">
    <v>19</v>
    <v>7</v>
    <v>55</v>
    <v>7</v>
    <v>0</v>
    <v>Image of Imus</v>
  </rv>
  <rv s="1">
    <fb>14.429722222222001</fb>
    <v>10</v>
  </rv>
  <rv s="0">
    <v>805306368</v>
    <v>Alex L. Advincula (Mayor)</v>
    <v>de32e8d4-dd89-73d0-2904-590ae3042d78</v>
    <v>en-US</v>
    <v>Generic</v>
  </rv>
  <rv s="5">
    <v>19</v>
  </rv>
  <rv s="3">
    <v>https://www.bing.com/search?q=imus+cavite+philippines&amp;form=skydnc</v>
    <v>Learn more on Bing</v>
  </rv>
  <rv s="1">
    <fb>120.93666666667001</fb>
    <v>10</v>
  </rv>
  <rv s="1">
    <fb>496794</fb>
    <v>9</v>
  </rv>
  <rv s="6">
    <v>#VALUE!</v>
    <v>en-US</v>
    <v>7b227cdf-70b1-e5a6-9b33-aae7890f5cec</v>
    <v>536870912</v>
    <v>1</v>
    <v>56</v>
    <v>13</v>
    <v>Imus</v>
    <v>5</v>
    <v>6</v>
    <v>Map</v>
    <v>7</v>
    <v>8</v>
    <v>120</v>
    <v>202</v>
    <v>4</v>
    <v>Imus, officially the City of Imus, is a 3rd class component city and de jure capital of the province of Cavite, Philippines. According to the 2020 census, it has a population of 496,794 people. It is the de jure capital of the province of ...</v>
    <v>203</v>
    <v>204</v>
    <v>206</v>
    <v>207</v>
    <v>208</v>
    <v>Imus</v>
    <v>209</v>
    <v>21</v>
    <v>Imus</v>
    <v>mdp/vdpid/7897994349751828481</v>
  </rv>
  <rv s="0">
    <v>536870912</v>
    <v>Jose Abad Santos, Davao Occidental</v>
    <v>aba2ee3a-7675-cada-7f0f-6a982ce8ab8e</v>
    <v>en-US</v>
    <v>Map</v>
  </rv>
  <rv s="0">
    <v>536870912</v>
    <v>Davao Occidental</v>
    <v>35aa0854-1795-47a4-abde-baaeb37be569</v>
    <v>en-US</v>
    <v>Map</v>
  </rv>
  <rv s="1">
    <fb>600.05999999999995</fb>
    <v>9</v>
  </rv>
  <rv s="2">
    <v>20</v>
    <v>7</v>
    <v>57</v>
    <v>7</v>
    <v>0</v>
    <v>Image of Jose Abad Santos, Davao Occidental</v>
  </rv>
  <rv s="1">
    <fb>5.9166666666666998</fb>
    <v>10</v>
  </rv>
  <rv s="0">
    <v>805306368</v>
    <v>Jason John A. Joyce (Mayor)</v>
    <v>b8299358-5417-a091-63cb-025e1ba5156e</v>
    <v>en-US</v>
    <v>Generic</v>
  </rv>
  <rv s="5">
    <v>20</v>
  </rv>
  <rv s="3">
    <v>https://www.bing.com/search?q=jose+abad+santos+philippines&amp;form=skydnc</v>
    <v>Learn more on Bing</v>
  </rv>
  <rv s="1">
    <fb>125.65</fb>
    <v>10</v>
  </rv>
  <rv s="1">
    <fb>73381</fb>
    <v>9</v>
  </rv>
  <rv s="7">
    <v>#VALUE!</v>
    <v>en-US</v>
    <v>aba2ee3a-7675-cada-7f0f-6a982ce8ab8e</v>
    <v>536870912</v>
    <v>1</v>
    <v>58</v>
    <v>18</v>
    <v>Jose Abad Santos, Davao Occidental</v>
    <v>5</v>
    <v>6</v>
    <v>Map</v>
    <v>7</v>
    <v>8</v>
    <v>212</v>
    <v>213</v>
    <v>4</v>
    <v>Jose Abad Santos, officially the Municipality of Jose Abad Santos, is a 1st class municipality in the province of Davao Occidental, Philippines. According to the 2020 census, it has a population of 73,381 people.</v>
    <v>214</v>
    <v>215</v>
    <v>217</v>
    <v>218</v>
    <v>219</v>
    <v>Jose Abad Santos, Davao Occidental</v>
    <v>220</v>
    <v>Jose Abad Santos, Davao Occidental</v>
    <v>mdp/vdpid/7921974987743821825</v>
  </rv>
  <rv s="0">
    <v>536870912</v>
    <v>Kidapawan</v>
    <v>9ea64939-0737-7a77-d5f7-99ceb23608b1</v>
    <v>en-US</v>
    <v>Map</v>
  </rv>
  <rv s="0">
    <v>536870912</v>
    <v>Cotabato</v>
    <v>bcd75c68-1bea-80bc-3ff6-de6b7165cba4</v>
    <v>en-US</v>
    <v>Map</v>
  </rv>
  <rv s="1">
    <fb>358.47</fb>
    <v>9</v>
  </rv>
  <rv s="2">
    <v>21</v>
    <v>7</v>
    <v>59</v>
    <v>7</v>
    <v>0</v>
    <v>Image of Kidapawan</v>
  </rv>
  <rv s="1">
    <fb>7.0083299999999999</fb>
    <v>10</v>
  </rv>
  <rv s="0">
    <v>805306368</v>
    <v>Jose Paolo M. Evangelista (Mayor)</v>
    <v>2cb14dd0-cc62-6048-d672-2962d322e50d</v>
    <v>en-US</v>
    <v>Generic</v>
  </rv>
  <rv s="5">
    <v>21</v>
  </rv>
  <rv s="3">
    <v>https://www.bing.com/search?q=kidapawan+philippines&amp;form=skydnc</v>
    <v>Learn more on Bing</v>
  </rv>
  <rv s="1">
    <fb>125.08944</fb>
    <v>10</v>
  </rv>
  <rv s="1">
    <fb>160791</fb>
    <v>9</v>
  </rv>
  <rv s="7">
    <v>#VALUE!</v>
    <v>en-US</v>
    <v>9ea64939-0737-7a77-d5f7-99ceb23608b1</v>
    <v>536870912</v>
    <v>1</v>
    <v>60</v>
    <v>18</v>
    <v>Kidapawan</v>
    <v>5</v>
    <v>6</v>
    <v>Map</v>
    <v>7</v>
    <v>8</v>
    <v>223</v>
    <v>224</v>
    <v>4</v>
    <v>Kidapawan, officially the City of Kidapawan, is a 3rd class component city and capital of the province of Cotabato, Philippines. According to the 2020 Census, it has a population of 160,791 people. It is located at the foot of Mount Apo, it is a ...</v>
    <v>225</v>
    <v>226</v>
    <v>228</v>
    <v>229</v>
    <v>230</v>
    <v>Kidapawan</v>
    <v>231</v>
    <v>Kidapawan</v>
    <v>mdp/vdpid/7918876859557740545</v>
  </rv>
  <rv s="0">
    <v>536870912</v>
    <v>La Union</v>
    <v>28905729-f4e1-e195-8ee5-e9f0185f79bb</v>
    <v>en-US</v>
    <v>Map</v>
  </rv>
  <rv s="1">
    <fb>1497.7</fb>
    <v>9</v>
  </rv>
  <rv s="0">
    <v>536870912</v>
    <v>San Fernando</v>
    <v>b439a4b2-0098-166d-028a-5827dcb65264</v>
    <v>en-US</v>
    <v>Map</v>
  </rv>
  <rv s="2">
    <v>22</v>
    <v>7</v>
    <v>61</v>
    <v>7</v>
    <v>0</v>
    <v>Image of La Union</v>
  </rv>
  <rv s="0">
    <v>805306368</v>
    <v>Raphaelle Veronica A. Ortega-David (Governor)</v>
    <v>0c12857a-9540-21c1-a566-014ee66ec1b1</v>
    <v>en-US</v>
    <v>Generic</v>
  </rv>
  <rv s="5">
    <v>22</v>
  </rv>
  <rv s="3">
    <v>https://www.bing.com/search?q=la+union&amp;form=skydnc</v>
    <v>Learn more on Bing</v>
  </rv>
  <rv s="1">
    <fb>822352</fb>
    <v>9</v>
  </rv>
  <rv s="8">
    <v>#VALUE!</v>
    <v>en-US</v>
    <v>28905729-f4e1-e195-8ee5-e9f0185f79bb</v>
    <v>536870912</v>
    <v>1</v>
    <v>63</v>
    <v>24</v>
    <v>La Union</v>
    <v>5</v>
    <v>6</v>
    <v>Map</v>
    <v>7</v>
    <v>8</v>
    <v>PH-LUN</v>
    <v>234</v>
    <v>235</v>
    <v>4</v>
    <v>La Union, officially the Province of La Union, is a province in the Philippines located in the Ilocos Region in the Island of Luzon. Its capital is the City of San Fernando, which also serves as the regional center of the Ilocos Region.</v>
    <v>236</v>
    <v>235</v>
    <v>238</v>
    <v>239</v>
    <v>La Union</v>
    <v>240</v>
    <v>21</v>
    <v>La Union</v>
    <v>mdp/vdpid/-7996910285</v>
  </rv>
  <rv s="0">
    <v>536870912</v>
    <v>Laoag</v>
    <v>dcaae288-8f09-8fdb-f134-7f1270b315c2</v>
    <v>en-US</v>
    <v>Map</v>
  </rv>
  <rv s="0">
    <v>536870912</v>
    <v>Ilocos Norte</v>
    <v>6253095b-6816-7985-36be-29d6991cc865</v>
    <v>en-US</v>
    <v>Map</v>
  </rv>
  <rv s="1">
    <fb>116.08</fb>
    <v>9</v>
  </rv>
  <rv s="2">
    <v>23</v>
    <v>7</v>
    <v>64</v>
    <v>7</v>
    <v>0</v>
    <v>Image of Laoag</v>
  </rv>
  <rv s="1">
    <fb>18.197777777777802</fb>
    <v>10</v>
  </rv>
  <rv s="0">
    <v>805306368</v>
    <v>Michael Marcos Keon (Mayor)</v>
    <v>7a38f547-7358-a8ba-d2b4-8ea79445ad03</v>
    <v>en-US</v>
    <v>Generic</v>
  </rv>
  <rv s="5">
    <v>23</v>
  </rv>
  <rv s="3">
    <v>https://www.bing.com/search?q=laoag&amp;form=skydnc</v>
    <v>Learn more on Bing</v>
  </rv>
  <rv s="1">
    <fb>120.593611111111</fb>
    <v>10</v>
  </rv>
  <rv s="1">
    <fb>111651</fb>
    <v>9</v>
  </rv>
  <rv s="7">
    <v>#VALUE!</v>
    <v>en-US</v>
    <v>dcaae288-8f09-8fdb-f134-7f1270b315c2</v>
    <v>536870912</v>
    <v>1</v>
    <v>65</v>
    <v>18</v>
    <v>Laoag</v>
    <v>5</v>
    <v>6</v>
    <v>Map</v>
    <v>7</v>
    <v>8</v>
    <v>243</v>
    <v>244</v>
    <v>4</v>
    <v>Laoag, officially the City of Laoag, is a 1st class component city and capital of the province of Ilocos Norte, Philippines. According to the 2020 census, it has a population of 111,651 people. It is the province's political, commercial, and ...</v>
    <v>245</v>
    <v>246</v>
    <v>248</v>
    <v>249</v>
    <v>250</v>
    <v>Laoag</v>
    <v>251</v>
    <v>Laoag</v>
    <v>mdp/vdpid/7894150809489768452</v>
  </rv>
  <rv s="0">
    <v>536870912</v>
    <v>Las Piñas</v>
    <v>0e2306ad-3575-a060-2af4-b159c6590421</v>
    <v>en-US</v>
    <v>Map</v>
  </rv>
  <rv s="1">
    <fb>32.69</fb>
    <v>9</v>
  </rv>
  <rv s="2">
    <v>24</v>
    <v>7</v>
    <v>66</v>
    <v>7</v>
    <v>0</v>
    <v>Image of Las Piñas</v>
  </rv>
  <rv s="1">
    <fb>14.45</fb>
    <v>10</v>
  </rv>
  <rv s="0">
    <v>805306368</v>
    <v>Imelda Aguilar (Mayor)</v>
    <v>43bfcb36-9f84-a23b-b3a6-617cebd3f201</v>
    <v>en-US</v>
    <v>Generic</v>
  </rv>
  <rv s="5">
    <v>24</v>
  </rv>
  <rv s="3">
    <v>https://www.bing.com/search?q=las+pi%c3%b1as&amp;form=skydnc</v>
    <v>Learn more on Bing</v>
  </rv>
  <rv s="1">
    <fb>120.98333333332999</fb>
    <v>10</v>
  </rv>
  <rv s="1">
    <fb>606293</fb>
    <v>9</v>
  </rv>
  <rv s="10">
    <v>#VALUE!</v>
    <v>en-US</v>
    <v>0e2306ad-3575-a060-2af4-b159c6590421</v>
    <v>536870912</v>
    <v>1</v>
    <v>67</v>
    <v>47</v>
    <v>Las Piñas</v>
    <v>5</v>
    <v>6</v>
    <v>Map</v>
    <v>7</v>
    <v>8</v>
    <v>1</v>
    <v>254</v>
    <v>4</v>
    <v>Las Piñas, officially the City of Las Piñas, is a 1st class highly urbanized city in the National Capital Region of the Philippines. According to the 2020 census, it has a population of 606,293 people.</v>
    <v>255</v>
    <v>256</v>
    <v>258</v>
    <v>259</v>
    <v>260</v>
    <v>Las Piñas</v>
    <v>261</v>
    <v>Las Piñas</v>
    <v>mdp/vdpid/7897982667709218818</v>
  </rv>
  <rv s="0">
    <v>536870912</v>
    <v>Lipa, Batangas</v>
    <v>a9a725f1-451c-3b36-826e-159417cc0fe1</v>
    <v>en-US</v>
    <v>Map</v>
  </rv>
  <rv s="0">
    <v>536870912</v>
    <v>Makati</v>
    <v>4b3b3d66-4455-cc14-dc78-f62e50a77a7a</v>
    <v>en-US</v>
    <v>Map</v>
  </rv>
  <rv s="1">
    <fb>21.57</fb>
    <v>9</v>
  </rv>
  <rv s="2">
    <v>25</v>
    <v>7</v>
    <v>68</v>
    <v>7</v>
    <v>0</v>
    <v>Image of Makati</v>
  </rv>
  <rv s="1">
    <fb>14.5566666666667</fb>
    <v>10</v>
  </rv>
  <rv s="0">
    <v>805306368</v>
    <v>Abigail Binay (Mayor)</v>
    <v>8a219316-de9a-cc20-7ed1-c15566b323e8</v>
    <v>en-US</v>
    <v>Generic</v>
  </rv>
  <rv s="5">
    <v>25</v>
  </rv>
  <rv s="3">
    <v>https://www.bing.com/search?q=makati&amp;form=skydnc</v>
    <v>Learn more on Bing</v>
  </rv>
  <rv s="1">
    <fb>121.02138888888901</fb>
    <v>10</v>
  </rv>
  <rv s="1">
    <fb>629616</fb>
    <v>9</v>
  </rv>
  <rv s="10">
    <v>#VALUE!</v>
    <v>en-US</v>
    <v>4b3b3d66-4455-cc14-dc78-f62e50a77a7a</v>
    <v>536870912</v>
    <v>1</v>
    <v>69</v>
    <v>47</v>
    <v>Makati</v>
    <v>5</v>
    <v>6</v>
    <v>Map</v>
    <v>7</v>
    <v>8</v>
    <v>1</v>
    <v>265</v>
    <v>4</v>
    <v>Makati, officially the City of Makati, is a 1st-class highly urbanized city in the National Capital Region of the Philippines. Makati is the financial center of the Philippines; it has the highest concentration of multinational and local ...</v>
    <v>266</v>
    <v>267</v>
    <v>269</v>
    <v>270</v>
    <v>271</v>
    <v>Makati</v>
    <v>272</v>
    <v>Makati</v>
    <v>mdp/vdpid/7897981714729795618</v>
  </rv>
  <rv s="0">
    <v>536870912</v>
    <v>Malolos</v>
    <v>ae03f328-ea88-1f6f-9f32-b18611d14b3f</v>
    <v>en-US</v>
    <v>Map</v>
  </rv>
  <rv s="1">
    <fb>67.25</fb>
    <v>9</v>
  </rv>
  <rv s="2">
    <v>26</v>
    <v>7</v>
    <v>70</v>
    <v>7</v>
    <v>0</v>
    <v>Image of Malolos</v>
  </rv>
  <rv s="1">
    <fb>14.843333333333</fb>
    <v>10</v>
  </rv>
  <rv s="0">
    <v>805306368</v>
    <v>Christian D. Natividad (Mayor)</v>
    <v>43813de4-6aef-9ed8-4d3b-844a571c1d71</v>
    <v>en-US</v>
    <v>Generic</v>
  </rv>
  <rv s="5">
    <v>26</v>
  </rv>
  <rv s="3">
    <v>https://www.bing.com/search?q=malolos+philippines&amp;form=skydnc</v>
    <v>Learn more on Bing</v>
  </rv>
  <rv s="1">
    <fb>120.81138888888999</fb>
    <v>10</v>
  </rv>
  <rv s="1">
    <fb>261189</fb>
    <v>9</v>
  </rv>
  <rv s="7">
    <v>#VALUE!</v>
    <v>en-US</v>
    <v>ae03f328-ea88-1f6f-9f32-b18611d14b3f</v>
    <v>536870912</v>
    <v>1</v>
    <v>71</v>
    <v>18</v>
    <v>Malolos</v>
    <v>5</v>
    <v>6</v>
    <v>Map</v>
    <v>7</v>
    <v>8</v>
    <v>46</v>
    <v>275</v>
    <v>4</v>
    <v>Malolos, officially the City of Malolos, is a 3rd class component city and capital of the province of Bulacan, Philippines. According to the 2020 census, it has a population of 261,189 people. It is the capital city of the province of Bulacan as ...</v>
    <v>276</v>
    <v>277</v>
    <v>279</v>
    <v>280</v>
    <v>281</v>
    <v>Malolos</v>
    <v>282</v>
    <v>Malolos</v>
    <v>mdp/vdpid/7897554071446355969</v>
  </rv>
  <rv s="0">
    <v>536870912</v>
    <v>Mandaue</v>
    <v>6099eaaf-c792-74c0-0331-91d036bb04b8</v>
    <v>en-US</v>
    <v>Map</v>
  </rv>
  <rv s="0">
    <v>536870912</v>
    <v>Cebu</v>
    <v>6fe7c68a-9515-9e1b-6ef3-215c4102b56d</v>
    <v>en-US</v>
    <v>Map</v>
  </rv>
  <rv s="1">
    <fb>34.869999999999997</fb>
    <v>9</v>
  </rv>
  <rv s="2">
    <v>27</v>
    <v>7</v>
    <v>72</v>
    <v>7</v>
    <v>0</v>
    <v>Image of Mandaue</v>
  </rv>
  <rv s="1">
    <fb>10.333333333333</fb>
    <v>10</v>
  </rv>
  <rv s="0">
    <v>805306368</v>
    <v>Jonas Cortes (Mayor)</v>
    <v>1b52908f-5651-4625-f006-384f6a776657</v>
    <v>en-US</v>
    <v>Generic</v>
  </rv>
  <rv s="5">
    <v>27</v>
  </rv>
  <rv s="3">
    <v>https://www.bing.com/search?q=mandaue&amp;form=skydnc</v>
    <v>Learn more on Bing</v>
  </rv>
  <rv s="1">
    <fb>123.93333333333</fb>
    <v>10</v>
  </rv>
  <rv s="1">
    <fb>364116</fb>
    <v>9</v>
  </rv>
  <rv s="7">
    <v>#VALUE!</v>
    <v>en-US</v>
    <v>6099eaaf-c792-74c0-0331-91d036bb04b8</v>
    <v>536870912</v>
    <v>1</v>
    <v>73</v>
    <v>18</v>
    <v>Mandaue</v>
    <v>5</v>
    <v>6</v>
    <v>Map</v>
    <v>7</v>
    <v>8</v>
    <v>285</v>
    <v>286</v>
    <v>4</v>
    <v>Mandaue, officially the City of Mandaue, is a 1st class highly urbanized city in the Central Visayas region of the Philippines. According to the 2020 census, it has a population of 364,116 people. Mandaue City is located on the central-eastern ...</v>
    <v>287</v>
    <v>288</v>
    <v>290</v>
    <v>291</v>
    <v>292</v>
    <v>Mandaue</v>
    <v>293</v>
    <v>Mandaue</v>
    <v>mdp/vdpid/7917405211897888769</v>
  </rv>
  <rv s="0">
    <v>536870912</v>
    <v>Mandurriao</v>
    <v>5dcfacbc-34df-8717-81bc-dbede15c2712</v>
    <v>en-US</v>
    <v>Map</v>
  </rv>
  <rv s="1">
    <fb>13.78</fb>
    <v>9</v>
  </rv>
  <rv s="2">
    <v>28</v>
    <v>7</v>
    <v>74</v>
    <v>7</v>
    <v>0</v>
    <v>Image of Mandurriao</v>
  </rv>
  <rv s="1">
    <fb>10.716699999999999</fb>
    <v>10</v>
  </rv>
  <rv s="0">
    <v>805306368</v>
    <v>Jerry Treñas (Mayor)</v>
    <v>e459547d-92ef-01d0-a55c-db90916baef5</v>
    <v>en-US</v>
    <v>Generic</v>
  </rv>
  <rv s="5">
    <v>28</v>
  </rv>
  <rv s="3">
    <v>https://www.bing.com/search?q=mandurriao&amp;form=skydnc</v>
    <v>Learn more on Bing</v>
  </rv>
  <rv s="1">
    <fb>122.533</fb>
    <v>10</v>
  </rv>
  <rv s="1">
    <fb>62240</fb>
    <v>9</v>
  </rv>
  <rv s="11">
    <v>#VALUE!</v>
    <v>en-US</v>
    <v>5dcfacbc-34df-8717-81bc-dbede15c2712</v>
    <v>536870912</v>
    <v>1</v>
    <v>76</v>
    <v>77</v>
    <v>Mandurriao</v>
    <v>5</v>
    <v>6</v>
    <v>Map</v>
    <v>7</v>
    <v>8</v>
    <v>192</v>
    <v>194</v>
    <v>296</v>
    <v>4</v>
    <v>Mandurriao is a district in Iloilo City, in the province of Iloilo, on the island of Panay, in the Western Visayas region, in the Philippines. It is the second-largest district by land area as well as the third-most populous district, with ...</v>
    <v>297</v>
    <v>298</v>
    <v>300</v>
    <v>301</v>
    <v>302</v>
    <v>Mandurriao</v>
    <v>303</v>
    <v>Mandurriao</v>
    <v>mdp/vdpid/7911300654235123713</v>
  </rv>
  <rv s="0">
    <v>536870912</v>
    <v>Marilao</v>
    <v>4524437f-b07e-a992-ca65-f4448552a3a0</v>
    <v>en-US</v>
    <v>Map</v>
  </rv>
  <rv s="1">
    <fb>33.74</fb>
    <v>9</v>
  </rv>
  <rv s="2">
    <v>29</v>
    <v>7</v>
    <v>78</v>
    <v>7</v>
    <v>0</v>
    <v>Image of Marilao</v>
  </rv>
  <rv s="1">
    <fb>14.758055555556</fb>
    <v>10</v>
  </rv>
  <rv s="0">
    <v>805306368</v>
    <v>Henry R. Lutao (Mayor)</v>
    <v>42aa4f9f-8c7e-c5f2-dbe4-6da173d68548</v>
    <v>en-US</v>
    <v>Generic</v>
  </rv>
  <rv s="5">
    <v>29</v>
  </rv>
  <rv s="3">
    <v>https://www.bing.com/search?q=marilao+bulacan&amp;form=skydnc</v>
    <v>Learn more on Bing</v>
  </rv>
  <rv s="1">
    <fb>120.94805555556</fb>
    <v>10</v>
  </rv>
  <rv s="1">
    <fb>254453</fb>
    <v>9</v>
  </rv>
  <rv s="7">
    <v>#VALUE!</v>
    <v>en-US</v>
    <v>4524437f-b07e-a992-ca65-f4448552a3a0</v>
    <v>536870912</v>
    <v>1</v>
    <v>79</v>
    <v>18</v>
    <v>Marilao</v>
    <v>5</v>
    <v>6</v>
    <v>Map</v>
    <v>7</v>
    <v>8</v>
    <v>46</v>
    <v>306</v>
    <v>4</v>
    <v>Marilao, officially the Municipality of Marilao, is a 1st class municipality in the province of Bulacan, Philippines. According to the 2020 census, it has a population of 254,453 people. With the continuous expansion of Metro Manila, the ...</v>
    <v>307</v>
    <v>308</v>
    <v>310</v>
    <v>311</v>
    <v>312</v>
    <v>Marilao</v>
    <v>313</v>
    <v>Marilao</v>
    <v>mdp/vdpid/7897976760166252545</v>
  </rv>
  <rv s="0">
    <v>536870912</v>
    <v>Orani</v>
    <v>c882b36d-2fad-32b4-8e87-3f25df983497</v>
    <v>en-US</v>
    <v>Map</v>
  </rv>
  <rv s="0">
    <v>536870912</v>
    <v>Bataan</v>
    <v>4c22acf7-e90d-0daf-6d66-a63f5b2adcc3</v>
    <v>en-US</v>
    <v>Map</v>
  </rv>
  <rv s="1">
    <fb>64.900000000000006</fb>
    <v>9</v>
  </rv>
  <rv s="2">
    <v>30</v>
    <v>7</v>
    <v>80</v>
    <v>7</v>
    <v>0</v>
    <v>Image of Orani</v>
  </rv>
  <rv s="1">
    <fb>14.8</fb>
    <v>10</v>
  </rv>
  <rv s="0">
    <v>805306368</v>
    <v>Efren Dominic E. Pascual Jr. (Mayor)</v>
    <v>7e5cf128-a995-dacc-3a59-bd5829135465</v>
    <v>en-US</v>
    <v>Generic</v>
  </rv>
  <rv s="5">
    <v>30</v>
  </rv>
  <rv s="3">
    <v>https://www.bing.com/search?q=orani+bataan+philippines&amp;form=skydnc</v>
    <v>Learn more on Bing</v>
  </rv>
  <rv s="1">
    <fb>120.53333333333001</fb>
    <v>10</v>
  </rv>
  <rv s="1">
    <fb>70342</fb>
    <v>9</v>
  </rv>
  <rv s="7">
    <v>#VALUE!</v>
    <v>en-US</v>
    <v>c882b36d-2fad-32b4-8e87-3f25df983497</v>
    <v>536870912</v>
    <v>1</v>
    <v>81</v>
    <v>18</v>
    <v>Orani</v>
    <v>5</v>
    <v>6</v>
    <v>Map</v>
    <v>7</v>
    <v>8</v>
    <v>316</v>
    <v>317</v>
    <v>4</v>
    <v>Orani, officially the Municipality of Orani, is a 1st class municipality in the province of Bataan, Philippines. According to the 2020 census, it has a population of 70,342 people.</v>
    <v>318</v>
    <v>319</v>
    <v>321</v>
    <v>322</v>
    <v>323</v>
    <v>Orani</v>
    <v>324</v>
    <v>Orani</v>
    <v>mdp/vdpid/7897545627037335553</v>
  </rv>
  <rv s="0">
    <v>536870912</v>
    <v>Ormoc</v>
    <v>decab6b8-4e1d-6b9c-3d5b-007a36c5118e</v>
    <v>en-US</v>
    <v>Map</v>
  </rv>
  <rv s="0">
    <v>536870912</v>
    <v>Leyte</v>
    <v>94c97459-3cfd-4ff5-f776-aa7ff55a7b2e</v>
    <v>en-US</v>
    <v>Map</v>
  </rv>
  <rv s="1">
    <fb>613.6</fb>
    <v>9</v>
  </rv>
  <rv s="2">
    <v>31</v>
    <v>7</v>
    <v>82</v>
    <v>7</v>
    <v>0</v>
    <v>Image of Ormoc</v>
  </rv>
  <rv s="1">
    <fb>11.0105555555556</fb>
    <v>10</v>
  </rv>
  <rv s="0">
    <v>805306368</v>
    <v>Lucy Torres-Gomez (Mayor)</v>
    <v>77f5ebed-ef6d-cf90-5217-e234635ea6ef</v>
    <v>en-US</v>
    <v>Generic</v>
  </rv>
  <rv s="5">
    <v>31</v>
  </rv>
  <rv s="3">
    <v>https://www.bing.com/search?q=ormoc&amp;form=skydnc</v>
    <v>Learn more on Bing</v>
  </rv>
  <rv s="1">
    <fb>124.6075</fb>
    <v>10</v>
  </rv>
  <rv s="1">
    <fb>230998</fb>
    <v>9</v>
  </rv>
  <rv s="7">
    <v>#VALUE!</v>
    <v>en-US</v>
    <v>decab6b8-4e1d-6b9c-3d5b-007a36c5118e</v>
    <v>536870912</v>
    <v>1</v>
    <v>83</v>
    <v>18</v>
    <v>Ormoc</v>
    <v>5</v>
    <v>6</v>
    <v>Map</v>
    <v>7</v>
    <v>8</v>
    <v>327</v>
    <v>328</v>
    <v>4</v>
    <v>Ormoc, officially the City of Ormoc, is a 1st class independent component city in the Eastern Visayas region of the Philippines. According to the 2020 census, it has a population of 230,998 inhabitants, making it the second most-populous city in ...</v>
    <v>329</v>
    <v>330</v>
    <v>332</v>
    <v>333</v>
    <v>334</v>
    <v>Ormoc</v>
    <v>335</v>
    <v>Ormoc</v>
    <v>mdp/vdpid/7917368512962625537</v>
  </rv>
  <rv s="0">
    <v>536870912</v>
    <v>Ozamiz</v>
    <v>acc92dcf-c410-9055-0ae0-3a0dc419f45b</v>
    <v>en-US</v>
    <v>Map</v>
  </rv>
  <rv s="0">
    <v>536870912</v>
    <v>Misamis Occidental</v>
    <v>90251788-07d6-5de9-5fb2-122d9011b748</v>
    <v>en-US</v>
    <v>Map</v>
  </rv>
  <rv s="1">
    <fb>169.95</fb>
    <v>9</v>
  </rv>
  <rv s="2">
    <v>32</v>
    <v>7</v>
    <v>84</v>
    <v>7</v>
    <v>0</v>
    <v>Image of Ozamiz</v>
  </rv>
  <rv s="1">
    <fb>8.15</fb>
    <v>10</v>
  </rv>
  <rv s="0">
    <v>805306368</v>
    <v>Atty. Henry “Indy” F. Oaminal Jr. (Mayor)</v>
    <v>24fffb3e-83aa-a538-fd37-c62607e3234f</v>
    <v>en-US</v>
    <v>Generic</v>
  </rv>
  <rv s="5">
    <v>32</v>
  </rv>
  <rv s="3">
    <v>https://www.bing.com/search?q=ozamiz&amp;form=skydnc</v>
    <v>Learn more on Bing</v>
  </rv>
  <rv s="1">
    <fb>123.85</fb>
    <v>10</v>
  </rv>
  <rv s="1">
    <fb>140334</fb>
    <v>9</v>
  </rv>
  <rv s="7">
    <v>#VALUE!</v>
    <v>en-US</v>
    <v>acc92dcf-c410-9055-0ae0-3a0dc419f45b</v>
    <v>536870912</v>
    <v>1</v>
    <v>85</v>
    <v>18</v>
    <v>Ozamiz</v>
    <v>5</v>
    <v>6</v>
    <v>Map</v>
    <v>7</v>
    <v>8</v>
    <v>338</v>
    <v>339</v>
    <v>4</v>
    <v>Ozamiz, officially the City of Ozamiz, is a 3rd class component city in the province of Misamis Occidental, Philippines. According to the 2020 census, it has a population of 140,334 people. Although occasionally spelled as Ozamis in official ...</v>
    <v>340</v>
    <v>341</v>
    <v>343</v>
    <v>344</v>
    <v>345</v>
    <v>Ozamiz</v>
    <v>346</v>
    <v>Ozamiz</v>
    <v>mdp/vdpid/7918471695948578817</v>
  </rv>
  <rv s="0">
    <v>536870912</v>
    <v>Paco, Manila</v>
    <v>fc3bd115-1a63-ec34-1ab1-da843cf3ee5e</v>
    <v>en-US</v>
    <v>Map</v>
  </rv>
  <rv s="0">
    <v>536870912</v>
    <v>Manila</v>
    <v>33b0f709-fe63-e51f-6893-aa4d29b074e5</v>
    <v>en-US</v>
    <v>Map</v>
  </rv>
  <rv s="2">
    <v>33</v>
    <v>7</v>
    <v>86</v>
    <v>7</v>
    <v>0</v>
    <v>Image of Paco, Manila</v>
  </rv>
  <rv s="1">
    <fb>14.583</fb>
    <v>10</v>
  </rv>
  <rv s="3">
    <v>https://www.bing.com/search?q=paco+manila&amp;form=skydnc</v>
    <v>Learn more on Bing</v>
  </rv>
  <rv s="1">
    <fb>120.983</fb>
    <v>10</v>
  </rv>
  <rv s="1">
    <fb>70978</fb>
    <v>9</v>
  </rv>
  <rv s="12">
    <v>#VALUE!</v>
    <v>en-US</v>
    <v>fc3bd115-1a63-ec34-1ab1-da843cf3ee5e</v>
    <v>536870912</v>
    <v>1</v>
    <v>87</v>
    <v>88</v>
    <v>Paco, Manila</v>
    <v>5</v>
    <v>6</v>
    <v>Map</v>
    <v>7</v>
    <v>89</v>
    <v>1</v>
    <v>349</v>
    <v>4</v>
    <v>Paco, formerly known as Dilao, is a district of Manila, Philippines located south of the Pasig River, and San Miguel, west of Santa Ana, southwest of Pandacan, north of Malate, northwest of San Andres Bukid, and east of Ermita. According to the ...</v>
    <v>350</v>
    <v>351</v>
    <v>352</v>
    <v>353</v>
    <v>Paco, Manila</v>
    <v>354</v>
    <v>Paco, Manila</v>
    <v>mdp/vdpid/7897981299980238853</v>
  </rv>
  <rv s="0">
    <v>536870912</v>
    <v>Palawan</v>
    <v>30a179ba-83c7-ea59-aa9e-504c60d0306a</v>
    <v>en-US</v>
    <v>Map</v>
  </rv>
  <rv s="1">
    <fb>14649.73</fb>
    <v>9</v>
  </rv>
  <rv s="0">
    <v>536870912</v>
    <v>Puerto Princesa</v>
    <v>20580cfd-3b03-0701-8bc4-521e997acc26</v>
    <v>en-US</v>
    <v>Map</v>
  </rv>
  <rv s="2">
    <v>34</v>
    <v>7</v>
    <v>90</v>
    <v>7</v>
    <v>0</v>
    <v>Image of Palawan</v>
  </rv>
  <rv s="0">
    <v>805306368</v>
    <v>Victorino Dennis M. Socrates (Governor)</v>
    <v>04f31a3f-43b8-7249-627e-ad00c4b8333b</v>
    <v>en-US</v>
    <v>Generic</v>
  </rv>
  <rv s="5">
    <v>33</v>
  </rv>
  <rv s="3">
    <v>https://www.bing.com/search?q=palawan&amp;form=skydnc</v>
    <v>Learn more on Bing</v>
  </rv>
  <rv s="1">
    <fb>939594</fb>
    <v>9</v>
  </rv>
  <rv s="9">
    <v>#VALUE!</v>
    <v>en-US</v>
    <v>30a179ba-83c7-ea59-aa9e-504c60d0306a</v>
    <v>536870912</v>
    <v>1</v>
    <v>92</v>
    <v>42</v>
    <v>Palawan</v>
    <v>5</v>
    <v>6</v>
    <v>Map</v>
    <v>7</v>
    <v>8</v>
    <v>PH-PLW</v>
    <v>357</v>
    <v>358</v>
    <v>4</v>
    <v>Palawan, officially the Province of Palawan, is an archipelagic province of the Philippines that is located in the region of Mimaropa. It is the largest province in the country in terms of total area of 14,649.73 km². The capital and largest ...</v>
    <v>359</v>
    <v>358</v>
    <v>361</v>
    <v>362</v>
    <v>Palawan</v>
    <v>363</v>
    <v>Palawan</v>
    <v>mdp/vdpid/-7996910248</v>
  </rv>
  <rv s="0">
    <v>536870912</v>
    <v>Pili, Camarines Sur</v>
    <v>12eeabcb-6f28-9c06-918c-894871559db4</v>
    <v>en-US</v>
    <v>Map</v>
  </rv>
  <rv s="0">
    <v>536870912</v>
    <v>Camarines Sur</v>
    <v>abce219f-6e2a-aed1-d1d8-0fa323980c58</v>
    <v>en-US</v>
    <v>Map</v>
  </rv>
  <rv s="1">
    <fb>126.25</fb>
    <v>9</v>
  </rv>
  <rv s="2">
    <v>35</v>
    <v>7</v>
    <v>93</v>
    <v>7</v>
    <v>0</v>
    <v>Image of Pili, Camarines Sur</v>
  </rv>
  <rv s="1">
    <fb>13.5561111111111</fb>
    <v>10</v>
  </rv>
  <rv s="0">
    <v>805306368</v>
    <v>Tomas P. Bongalonta (Mayor)</v>
    <v>39e36119-002d-65da-abe1-0a1e2ed74212</v>
    <v>en-US</v>
    <v>Generic</v>
  </rv>
  <rv s="5">
    <v>34</v>
  </rv>
  <rv s="3">
    <v>https://www.bing.com/search?q=pili%2c+camarines+sur&amp;form=skydnc</v>
    <v>Learn more on Bing</v>
  </rv>
  <rv s="1">
    <fb>123.275555555556</fb>
    <v>10</v>
  </rv>
  <rv s="1">
    <fb>99196</fb>
    <v>9</v>
  </rv>
  <rv s="7">
    <v>#VALUE!</v>
    <v>en-US</v>
    <v>12eeabcb-6f28-9c06-918c-894871559db4</v>
    <v>536870912</v>
    <v>1</v>
    <v>94</v>
    <v>18</v>
    <v>Pili, Camarines Sur</v>
    <v>5</v>
    <v>6</v>
    <v>Map</v>
    <v>7</v>
    <v>8</v>
    <v>366</v>
    <v>367</v>
    <v>4</v>
    <v>Pili, officially the Municipality of Pili is a 1st class municipality and capital of the province of Camarines Sur, Philippines. According to the 2020 census, it has a population of 99,196 people. The town is 450 kilometres from Manila.</v>
    <v>368</v>
    <v>369</v>
    <v>371</v>
    <v>372</v>
    <v>373</v>
    <v>Pili, Camarines Sur</v>
    <v>374</v>
    <v>Pili, Camarines Sur</v>
    <v>mdp/vdpid/7898948044102565889</v>
  </rv>
  <rv s="0">
    <v>536870912</v>
    <v>Roxas, Palawan</v>
    <v>2241d70c-eff8-42d0-ca58-f96d27b985e4</v>
    <v>en-US</v>
    <v>Map</v>
  </rv>
  <rv s="1">
    <fb>1177.56</fb>
    <v>9</v>
  </rv>
  <rv s="2">
    <v>36</v>
    <v>7</v>
    <v>95</v>
    <v>7</v>
    <v>0</v>
    <v>Image of Roxas, Palawan</v>
  </rv>
  <rv s="1">
    <fb>10.3197222222222</fb>
    <v>10</v>
  </rv>
  <rv s="0">
    <v>805306368</v>
    <v>Dennis M. Sabando (Mayor)</v>
    <v>b72857ce-6903-836a-daab-8132de444442</v>
    <v>en-US</v>
    <v>Generic</v>
  </rv>
  <rv s="5">
    <v>35</v>
  </rv>
  <rv s="3">
    <v>https://www.bing.com/search?q=roxas%2c+palawan+philippines&amp;form=skydnc</v>
    <v>Learn more on Bing</v>
  </rv>
  <rv s="1">
    <fb>119.34083333333299</fb>
    <v>10</v>
  </rv>
  <rv s="1">
    <fb>69624</fb>
    <v>9</v>
  </rv>
  <rv s="7">
    <v>#VALUE!</v>
    <v>en-US</v>
    <v>2241d70c-eff8-42d0-ca58-f96d27b985e4</v>
    <v>536870912</v>
    <v>1</v>
    <v>96</v>
    <v>18</v>
    <v>Roxas, Palawan</v>
    <v>5</v>
    <v>6</v>
    <v>Map</v>
    <v>7</v>
    <v>8</v>
    <v>356</v>
    <v>377</v>
    <v>4</v>
    <v>Roxas, officially the Municipality of Roxas, is a 1st class municipality in the province of Palawan, Philippines. According to the 2020 census, it has a population of 69,624 people. Roxas was created under Republic Act No. 615 in 1951 from the ...</v>
    <v>378</v>
    <v>379</v>
    <v>381</v>
    <v>382</v>
    <v>383</v>
    <v>Roxas, Palawan</v>
    <v>384</v>
    <v>Roxas, Palawan</v>
    <v>mdp/vdpid/7910705153412431873</v>
  </rv>
  <rv s="0">
    <v>536870912</v>
    <v>San Pablo, Laguna</v>
    <v>1a82a101-c052-2a22-33f7-663e0806a739</v>
    <v>en-US</v>
    <v>Map</v>
  </rv>
  <rv s="0">
    <v>536870912</v>
    <v>Laguna</v>
    <v>39988f56-c0ce-62ef-a19a-76f4048b73a9</v>
    <v>en-US</v>
    <v>Map</v>
  </rv>
  <rv s="1">
    <fb>197.56</fb>
    <v>9</v>
  </rv>
  <rv s="2">
    <v>37</v>
    <v>7</v>
    <v>97</v>
    <v>7</v>
    <v>0</v>
    <v>Image of San Pablo, Laguna</v>
  </rv>
  <rv s="1">
    <fb>14.07</fb>
    <v>10</v>
  </rv>
  <rv s="0">
    <v>805306368</v>
    <v>Vicente Amante (Mayor)</v>
    <v>df034aec-af03-c80a-a0e5-b0daa6a6208b</v>
    <v>en-US</v>
    <v>Generic</v>
  </rv>
  <rv s="5">
    <v>36</v>
  </rv>
  <rv s="3">
    <v>https://www.bing.com/search?q=san+pablo%2c+laguna+philippines&amp;form=skydnc</v>
    <v>Learn more on Bing</v>
  </rv>
  <rv s="1">
    <fb>121.325</fb>
    <v>10</v>
  </rv>
  <rv s="1">
    <fb>285348</fb>
    <v>9</v>
  </rv>
  <rv s="7">
    <v>#VALUE!</v>
    <v>en-US</v>
    <v>1a82a101-c052-2a22-33f7-663e0806a739</v>
    <v>536870912</v>
    <v>1</v>
    <v>98</v>
    <v>18</v>
    <v>San Pablo, Laguna</v>
    <v>5</v>
    <v>6</v>
    <v>Map</v>
    <v>7</v>
    <v>8</v>
    <v>387</v>
    <v>388</v>
    <v>4</v>
    <v>San Pablo, officially the City of San Pablo, is a 1st class component city in the province of Laguna, Philippines. According to the 2020 census, it has a population of 285,348 people. It is located in the southern portion of Laguna province, it ...</v>
    <v>389</v>
    <v>390</v>
    <v>392</v>
    <v>393</v>
    <v>394</v>
    <v>San Pablo, Laguna</v>
    <v>395</v>
    <v>San Pablo, Laguna</v>
    <v>mdp/vdpid/7898760304287285249</v>
  </rv>
  <rv s="0">
    <v>536870912</v>
    <v>Santa Rosa, Laguna</v>
    <v>543053c8-1ee3-d71b-fdb1-577456b18ccb</v>
    <v>en-US</v>
    <v>Map</v>
  </rv>
  <rv s="1">
    <fb>54.84</fb>
    <v>9</v>
  </rv>
  <rv s="2">
    <v>38</v>
    <v>7</v>
    <v>99</v>
    <v>7</v>
    <v>0</v>
    <v>Image of Santa Rosa, Laguna</v>
  </rv>
  <rv s="0">
    <v>805306368</v>
    <v>Arlene B. Arcillas (Mayor)</v>
    <v>8535d531-5ff9-1d30-0c4d-5d07fd26f416</v>
    <v>en-US</v>
    <v>Generic</v>
  </rv>
  <rv s="5">
    <v>37</v>
  </rv>
  <rv s="3">
    <v>https://www.bing.com/search?q=santa+rosa+philippines&amp;form=skydnc</v>
    <v>Learn more on Bing</v>
  </rv>
  <rv s="1">
    <fb>121.11666666667</fb>
    <v>10</v>
  </rv>
  <rv s="1">
    <fb>414812</fb>
    <v>9</v>
  </rv>
  <rv s="7">
    <v>#VALUE!</v>
    <v>en-US</v>
    <v>543053c8-1ee3-d71b-fdb1-577456b18ccb</v>
    <v>536870912</v>
    <v>1</v>
    <v>100</v>
    <v>18</v>
    <v>Santa Rosa, Laguna</v>
    <v>5</v>
    <v>6</v>
    <v>Map</v>
    <v>7</v>
    <v>8</v>
    <v>387</v>
    <v>398</v>
    <v>4</v>
    <v>Santa Rosa, officially the City of Santa Rosa, is a 1st class component city in the province of Laguna, Philippines. According to the 2020 census, its population was 414,812 people. It is the second largest local government unit in Laguna after ...</v>
    <v>399</v>
    <v>123</v>
    <v>401</v>
    <v>402</v>
    <v>403</v>
    <v>Santa Rosa, Laguna</v>
    <v>404</v>
    <v>Santa Rosa, Laguna</v>
    <v>mdp/vdpid/7897996187796504579</v>
  </rv>
  <rv s="0">
    <v>536870912</v>
    <v>Subic, Zambales</v>
    <v>fb283a0a-93e2-6603-93ad-567e0e3ca290</v>
    <v>en-US</v>
    <v>Map</v>
  </rv>
  <rv s="0">
    <v>536870912</v>
    <v>Zambales</v>
    <v>fb1f00fe-78f7-2506-a3c2-02c4389d38d7</v>
    <v>en-US</v>
    <v>Map</v>
  </rv>
  <rv s="1">
    <fb>287.16000000000003</fb>
    <v>9</v>
  </rv>
  <rv s="2">
    <v>39</v>
    <v>7</v>
    <v>101</v>
    <v>7</v>
    <v>0</v>
    <v>Image of Subic, Zambales</v>
  </rv>
  <rv s="1">
    <fb>14.876944444444399</fb>
    <v>10</v>
  </rv>
  <rv s="0">
    <v>805306368</v>
    <v>Jonathan John F. Khonghun (Mayor)</v>
    <v>d7d72092-fd9e-adec-a12c-6392229531d3</v>
    <v>en-US</v>
    <v>Generic</v>
  </rv>
  <rv s="5">
    <v>38</v>
  </rv>
  <rv s="3">
    <v>https://www.bing.com/search?q=subic+zambales&amp;form=skydnc</v>
    <v>Learn more on Bing</v>
  </rv>
  <rv s="1">
    <fb>120.232777777778</fb>
    <v>10</v>
  </rv>
  <rv s="1">
    <fb>111912</fb>
    <v>9</v>
  </rv>
  <rv s="7">
    <v>#VALUE!</v>
    <v>en-US</v>
    <v>fb283a0a-93e2-6603-93ad-567e0e3ca290</v>
    <v>536870912</v>
    <v>1</v>
    <v>102</v>
    <v>18</v>
    <v>Subic, Zambales</v>
    <v>5</v>
    <v>6</v>
    <v>Map</v>
    <v>7</v>
    <v>8</v>
    <v>407</v>
    <v>408</v>
    <v>4</v>
    <v>Subic, officially the Municipality of Subic, is a 1st class municipality in the province of Zambales, Philippines. According to the 2020 census, it has a population of 111,912 people. It is located along the northern coast of Subic Bay. Portions ...</v>
    <v>409</v>
    <v>410</v>
    <v>412</v>
    <v>413</v>
    <v>414</v>
    <v>Subic, Zambales</v>
    <v>415</v>
    <v>Subic, Zambales</v>
    <v>mdp/vdpid/7897518207899009025</v>
  </rv>
  <rv s="0">
    <v>536870912</v>
    <v>Tacloban</v>
    <v>9636cbbd-cf84-bd92-4e08-d6a7d13cbed6</v>
    <v>en-US</v>
    <v>Map</v>
  </rv>
  <rv s="0">
    <v>536870912</v>
    <v>Visayas</v>
    <v>fbe3b2cd-4198-4c68-96d1-2fd072d9f1bc</v>
    <v>en-US</v>
    <v>Map</v>
  </rv>
  <rv s="1">
    <fb>201.72</fb>
    <v>9</v>
  </rv>
  <rv s="2">
    <v>40</v>
    <v>7</v>
    <v>103</v>
    <v>7</v>
    <v>0</v>
    <v>Image of Tacloban</v>
  </rv>
  <rv s="1">
    <fb>11.244444444443999</fb>
    <v>10</v>
  </rv>
  <rv s="0">
    <v>805306368</v>
    <v>Alfred S. Romualdez (Mayor)</v>
    <v>e92b7ef6-914f-0e58-791d-31e6158bcaf1</v>
    <v>en-US</v>
    <v>Generic</v>
  </rv>
  <rv s="5">
    <v>39</v>
  </rv>
  <rv s="3">
    <v>https://www.bing.com/search?q=tacloban&amp;form=skydnc</v>
    <v>Learn more on Bing</v>
  </rv>
  <rv s="1">
    <fb>125.00388888889</fb>
    <v>10</v>
  </rv>
  <rv s="1">
    <fb>251881</fb>
    <v>9</v>
  </rv>
  <rv s="11">
    <v>#VALUE!</v>
    <v>en-US</v>
    <v>9636cbbd-cf84-bd92-4e08-d6a7d13cbed6</v>
    <v>536870912</v>
    <v>1</v>
    <v>104</v>
    <v>77</v>
    <v>Tacloban</v>
    <v>5</v>
    <v>6</v>
    <v>Map</v>
    <v>7</v>
    <v>8</v>
    <v>418</v>
    <v>327</v>
    <v>419</v>
    <v>4</v>
    <v>Tacloban, officially the City of Tacloban, is a 1st class highly urbanized city in the Eastern Visayas region of the Philippines. The city is autonomous from the province of Leyte, although it serves as its provincial capital. According to the ...</v>
    <v>420</v>
    <v>421</v>
    <v>423</v>
    <v>424</v>
    <v>425</v>
    <v>Tacloban</v>
    <v>426</v>
    <v>Tacloban</v>
    <v>mdp/vdpid/7905363254703030274</v>
  </rv>
  <rv s="0">
    <v>536870912</v>
    <v>Tagbilaran</v>
    <v>4c62f625-d33a-9ed0-f292-1ca51b5ed1d4</v>
    <v>en-US</v>
    <v>Map</v>
  </rv>
  <rv s="0">
    <v>536870912</v>
    <v>Bohol</v>
    <v>d743e6b8-fccc-a061-aa7d-eeb4c19ca97b</v>
    <v>en-US</v>
    <v>Map</v>
  </rv>
  <rv s="1">
    <fb>36.5</fb>
    <v>9</v>
  </rv>
  <rv s="2">
    <v>41</v>
    <v>7</v>
    <v>105</v>
    <v>7</v>
    <v>0</v>
    <v>Image of Tagbilaran</v>
  </rv>
  <rv s="1">
    <fb>9.65</fb>
    <v>10</v>
  </rv>
  <rv s="0">
    <v>805306368</v>
    <v>Jane Cajes Yap (Mayor)</v>
    <v>639e78cb-b2d4-05f6-f774-6381dc792263</v>
    <v>en-US</v>
    <v>Generic</v>
  </rv>
  <rv s="5">
    <v>40</v>
  </rv>
  <rv s="3">
    <v>https://www.bing.com/search?q=tagbilaran+bohol+philippines&amp;form=skydnc</v>
    <v>Learn more on Bing</v>
  </rv>
  <rv s="1">
    <fb>104976</fb>
    <v>9</v>
  </rv>
  <rv s="6">
    <v>#VALUE!</v>
    <v>en-US</v>
    <v>4c62f625-d33a-9ed0-f292-1ca51b5ed1d4</v>
    <v>536870912</v>
    <v>1</v>
    <v>106</v>
    <v>13</v>
    <v>Tagbilaran</v>
    <v>5</v>
    <v>6</v>
    <v>Map</v>
    <v>7</v>
    <v>8</v>
    <v>429</v>
    <v>430</v>
    <v>4</v>
    <v>Tagbilaran, officially the City of Tagbilaran, is a 3rd class component city and capital of the province of Bohol, Philippines. According to the 2020 census, it has a population of 104,976 people. Encompassing a land area of 32.7 km², with a ...</v>
    <v>431</v>
    <v>432</v>
    <v>434</v>
    <v>435</v>
    <v>345</v>
    <v>Tagbilaran</v>
    <v>436</v>
    <v>21</v>
    <v>Tagbilaran</v>
    <v>mdp/vdpid/7917614633093955585</v>
  </rv>
  <rv s="0">
    <v>536870912</v>
    <v>Tagum</v>
    <v>05ed9b6f-1378-da68-94fd-8d26acff4f8a</v>
    <v>en-US</v>
    <v>Map</v>
  </rv>
  <rv s="0">
    <v>536870912</v>
    <v>Davao del Norte</v>
    <v>9d76fe2e-b56a-c6ae-77eb-ed4776895f94</v>
    <v>en-US</v>
    <v>Map</v>
  </rv>
  <rv s="1">
    <fb>195.8</fb>
    <v>9</v>
  </rv>
  <rv s="2">
    <v>42</v>
    <v>7</v>
    <v>107</v>
    <v>7</v>
    <v>0</v>
    <v>Image of Tagum</v>
  </rv>
  <rv s="1">
    <fb>7.4477799999999998</fb>
    <v>10</v>
  </rv>
  <rv s="0">
    <v>805306368</v>
    <v>Rey T . Uy (Mayor)</v>
    <v>cc496e72-1127-a68c-1ba6-b1d253ec0afd</v>
    <v>en-US</v>
    <v>Generic</v>
  </rv>
  <rv s="5">
    <v>41</v>
  </rv>
  <rv s="3">
    <v>https://www.bing.com/search?q=tagum+city&amp;form=skydnc</v>
    <v>Learn more on Bing</v>
  </rv>
  <rv s="1">
    <fb>125.80777999999999</fb>
    <v>10</v>
  </rv>
  <rv s="1">
    <fb>296202</fb>
    <v>9</v>
  </rv>
  <rv s="7">
    <v>#VALUE!</v>
    <v>en-US</v>
    <v>05ed9b6f-1378-da68-94fd-8d26acff4f8a</v>
    <v>536870912</v>
    <v>1</v>
    <v>108</v>
    <v>18</v>
    <v>Tagum</v>
    <v>5</v>
    <v>6</v>
    <v>Map</v>
    <v>7</v>
    <v>8</v>
    <v>439</v>
    <v>440</v>
    <v>4</v>
    <v>Tagum, officially the City of Tagum, is a 1st class component city and capital of the Davao del Norte, Philippines. According to the 2020 census, it has a population of 296,202 people making it the most populous component city in Mindanao.</v>
    <v>441</v>
    <v>442</v>
    <v>444</v>
    <v>445</v>
    <v>446</v>
    <v>Tagum</v>
    <v>447</v>
    <v>Tagum</v>
    <v>mdp/vdpid/7918682258767085569</v>
  </rv>
  <rv s="0">
    <v>536870912</v>
    <v>Talisay, Negros Occidental</v>
    <v>00df6e89-3a5d-87d8-7e78-80973916be06</v>
    <v>en-US</v>
    <v>Map</v>
  </rv>
  <rv s="1">
    <fb>201.18</fb>
    <v>9</v>
  </rv>
  <rv s="2">
    <v>43</v>
    <v>7</v>
    <v>109</v>
    <v>7</v>
    <v>0</v>
    <v>Image of Talisay, Negros Occidental</v>
  </rv>
  <rv s="1">
    <fb>10.733333333333</fb>
    <v>10</v>
  </rv>
  <rv s="0">
    <v>805306368</v>
    <v>Nilo Jesus Antonio Neil E. Lizares III (Mayor)</v>
    <v>8c06ffaa-aa0d-c747-1599-261782c0e8a5</v>
    <v>en-US</v>
    <v>Generic</v>
  </rv>
  <rv s="5">
    <v>42</v>
  </rv>
  <rv s="3">
    <v>https://www.bing.com/search?q=talisay+philippines&amp;form=skydnc</v>
    <v>Learn more on Bing</v>
  </rv>
  <rv s="1">
    <fb>122.96666666666999</fb>
    <v>10</v>
  </rv>
  <rv s="1">
    <fb>108909</fb>
    <v>9</v>
  </rv>
  <rv s="7">
    <v>#VALUE!</v>
    <v>en-US</v>
    <v>00df6e89-3a5d-87d8-7e78-80973916be06</v>
    <v>536870912</v>
    <v>1</v>
    <v>110</v>
    <v>18</v>
    <v>Talisay, Negros Occidental</v>
    <v>5</v>
    <v>6</v>
    <v>Map</v>
    <v>7</v>
    <v>8</v>
    <v>24</v>
    <v>450</v>
    <v>4</v>
    <v>Talisay, officially the City of Talisay, is a 4th class component city in the province of Negros Occidental, Philippines. According to the 2020 census, it has a population of 108,909 people. It is part of the metropolitan area called Metro ...</v>
    <v>451</v>
    <v>452</v>
    <v>454</v>
    <v>455</v>
    <v>456</v>
    <v>Talisay, Negros Occidental</v>
    <v>457</v>
    <v>Talisay, Negros Occidental</v>
    <v>mdp/vdpid/7911307044173381633</v>
  </rv>
  <rv s="0">
    <v>536870912</v>
    <v>Tarlac</v>
    <v>7d56b130-da68-5615-69f0-dbad4c246cf7</v>
    <v>en-US</v>
    <v>Map</v>
  </rv>
  <rv s="1">
    <fb>3053.6</fb>
    <v>9</v>
  </rv>
  <rv s="0">
    <v>536870912</v>
    <v>Tarlac City</v>
    <v>181b23df-f7e9-05d7-cd63-f2389a778b10</v>
    <v>en-US</v>
    <v>Map</v>
  </rv>
  <rv s="2">
    <v>44</v>
    <v>7</v>
    <v>111</v>
    <v>7</v>
    <v>0</v>
    <v>Image of Tarlac</v>
  </rv>
  <rv s="0">
    <v>805306368</v>
    <v>Susan Yap (Governor)</v>
    <v>6295bb7f-716d-28e5-4fef-e58db9f72b67</v>
    <v>en-US</v>
    <v>Generic</v>
  </rv>
  <rv s="5">
    <v>43</v>
  </rv>
  <rv s="3">
    <v>https://www.bing.com/search?q=tarlac&amp;form=skydnc</v>
    <v>Learn more on Bing</v>
  </rv>
  <rv s="1">
    <fb>1503456</fb>
    <v>9</v>
  </rv>
  <rv s="9">
    <v>#VALUE!</v>
    <v>en-US</v>
    <v>7d56b130-da68-5615-69f0-dbad4c246cf7</v>
    <v>536870912</v>
    <v>1</v>
    <v>113</v>
    <v>42</v>
    <v>Tarlac</v>
    <v>5</v>
    <v>6</v>
    <v>Map</v>
    <v>7</v>
    <v>8</v>
    <v>PH-TAR</v>
    <v>460</v>
    <v>461</v>
    <v>4</v>
    <v>Tarlac, officially the Province of Tarlac, is a landlocked province in the Philippines located in the Central Luzon region. Its capital is the city of Tarlac. It is bounded on the north by the province of Pangasinan, Nueva Ecija on the east, ...</v>
    <v>462</v>
    <v>461</v>
    <v>464</v>
    <v>465</v>
    <v>Tarlac</v>
    <v>466</v>
    <v>Tarlac</v>
    <v>mdp/vdpid/-7996910222</v>
  </rv>
  <rv s="0">
    <v>536870912</v>
    <v>Taytay, Rizal</v>
    <v>7b14d8f7-7399-633e-c534-362a44868dcd</v>
    <v>en-US</v>
    <v>Map</v>
  </rv>
  <rv s="1">
    <fb>38.799999999999997</fb>
    <v>9</v>
  </rv>
  <rv s="2">
    <v>45</v>
    <v>7</v>
    <v>114</v>
    <v>7</v>
    <v>0</v>
    <v>Image of Taytay, Rizal</v>
  </rv>
  <rv s="1">
    <fb>14.569167</fb>
    <v>10</v>
  </rv>
  <rv s="0">
    <v>805306368</v>
    <v>Allan Martine S. De Leon (Mayor)</v>
    <v>55967511-1848-ae7f-ba8f-8176bca37dd7</v>
    <v>en-US</v>
    <v>Generic</v>
  </rv>
  <rv s="5">
    <v>44</v>
  </rv>
  <rv s="3">
    <v>https://www.bing.com/search?q=taytay%2c+rizal&amp;form=skydnc</v>
    <v>Learn more on Bing</v>
  </rv>
  <rv s="1">
    <fb>121.13249999999999</fb>
    <v>10</v>
  </rv>
  <rv s="1">
    <fb>386451</fb>
    <v>9</v>
  </rv>
  <rv s="13">
    <v>#VALUE!</v>
    <v>en-US</v>
    <v>7b14d8f7-7399-633e-c534-362a44868dcd</v>
    <v>536870912</v>
    <v>1</v>
    <v>115</v>
    <v>116</v>
    <v>Taytay, Rizal</v>
    <v>5</v>
    <v>6</v>
    <v>Map</v>
    <v>7</v>
    <v>8</v>
    <v>469</v>
    <v>4</v>
    <v>Taytay, officially the Municipality of Taytay, is a 1st class urban municipality in the province of Rizal, Philippines. It is also known as the Garments Capital of the Philippines. Most occupation of the residents are related to supplying ...</v>
    <v>470</v>
    <v>471</v>
    <v>473</v>
    <v>474</v>
    <v>475</v>
    <v>Taytay, Rizal</v>
    <v>476</v>
    <v>Taytay, Rizal</v>
    <v>mdp/vdpid/7897983504070213633</v>
  </rv>
  <rv s="0">
    <v>536870912</v>
    <v>Tuguegarao</v>
    <v>aed2de48-d47e-6468-6a4a-0197e6cc1b72</v>
    <v>en-US</v>
    <v>Map</v>
  </rv>
  <rv s="0">
    <v>536870912</v>
    <v>Cagayan</v>
    <v>c27369d2-9ab0-e651-32e7-8f24d9a33023</v>
    <v>en-US</v>
    <v>Map</v>
  </rv>
  <rv s="1">
    <fb>144.80000000000001</fb>
    <v>9</v>
  </rv>
  <rv s="2">
    <v>46</v>
    <v>7</v>
    <v>117</v>
    <v>7</v>
    <v>0</v>
    <v>Image of Tuguegarao</v>
  </rv>
  <rv s="1">
    <fb>17.613333333333301</fb>
    <v>10</v>
  </rv>
  <rv s="0">
    <v>805306368</v>
    <v>Maila Rosario S. Ting-Que (Mayor)</v>
    <v>aa133a00-e267-3741-12f7-2744e703fe74</v>
    <v>en-US</v>
    <v>Generic</v>
  </rv>
  <rv s="5">
    <v>45</v>
  </rv>
  <rv s="3">
    <v>https://www.bing.com/search?q=tuguegarao&amp;form=skydnc</v>
    <v>Learn more on Bing</v>
  </rv>
  <rv s="1">
    <fb>121.730277777778</fb>
    <v>10</v>
  </rv>
  <rv s="1">
    <fb>166334</fb>
    <v>9</v>
  </rv>
  <rv s="7">
    <v>#VALUE!</v>
    <v>en-US</v>
    <v>aed2de48-d47e-6468-6a4a-0197e6cc1b72</v>
    <v>536870912</v>
    <v>1</v>
    <v>118</v>
    <v>18</v>
    <v>Tuguegarao</v>
    <v>5</v>
    <v>6</v>
    <v>Map</v>
    <v>7</v>
    <v>8</v>
    <v>479</v>
    <v>480</v>
    <v>4</v>
    <v>Tuguegarao, officially the City of Tuguegarao, is a component city capital of Cagayan, Philippines and Regional Center of Cagayan Valley, Philippines with a population of 166,334 people according to the 2020 census. It is the most urbanized area ...</v>
    <v>481</v>
    <v>482</v>
    <v>484</v>
    <v>485</v>
    <v>486</v>
    <v>Tuguegarao</v>
    <v>487</v>
    <v>Tuguegarao</v>
    <v>mdp/vdpid/7894636647281590273</v>
  </rv>
  <rv s="0">
    <v>536870912</v>
    <v>Urdaneta, Pangasinan</v>
    <v>6e625be4-3b65-93fb-40e3-6346d4781971</v>
    <v>en-US</v>
    <v>Map</v>
  </rv>
  <rv s="1">
    <fb>100.26</fb>
    <v>9</v>
  </rv>
  <rv s="2">
    <v>47</v>
    <v>7</v>
    <v>119</v>
    <v>7</v>
    <v>0</v>
    <v>Image of Urdaneta, Pangasinan</v>
  </rv>
  <rv s="1">
    <fb>15.976111111111001</fb>
    <v>10</v>
  </rv>
  <rv s="0">
    <v>805306368</v>
    <v>Julio F. Parayno III (Mayor)</v>
    <v>ca2e6eb3-3483-1353-dbd7-2f92a413a06e</v>
    <v>en-US</v>
    <v>Generic</v>
  </rv>
  <rv s="5">
    <v>46</v>
  </rv>
  <rv s="3">
    <v>https://www.bing.com/search?q=urdaneta%2c+pangasinan&amp;form=skydnc</v>
    <v>Learn more on Bing</v>
  </rv>
  <rv s="1">
    <fb>120.57111111111</fb>
    <v>10</v>
  </rv>
  <rv s="1">
    <fb>144577</fb>
    <v>9</v>
  </rv>
  <rv s="7">
    <v>#VALUE!</v>
    <v>en-US</v>
    <v>6e625be4-3b65-93fb-40e3-6346d4781971</v>
    <v>536870912</v>
    <v>1</v>
    <v>120</v>
    <v>18</v>
    <v>Urdaneta, Pangasinan</v>
    <v>5</v>
    <v>6</v>
    <v>Map</v>
    <v>7</v>
    <v>8</v>
    <v>109</v>
    <v>490</v>
    <v>4</v>
    <v>Urdaneta, officially the City of Urdaneta, is a 2nd class component city in the province of Pangasinan, Philippines. According to the 2020 census, it has a population of 144,577 people.</v>
    <v>491</v>
    <v>492</v>
    <v>494</v>
    <v>495</v>
    <v>496</v>
    <v>Urdaneta, Pangasinan</v>
    <v>497</v>
    <v>Urdaneta, Pangasinan</v>
    <v>mdp/vdpid/7897315585736835073</v>
  </rv>
  <rv s="0">
    <v>536870912</v>
    <v>Valenzuela, Metro Manila</v>
    <v>4165515f-4aa6-4852-e2e8-6516cbd68027</v>
    <v>en-US</v>
    <v>Map</v>
  </rv>
  <rv s="1">
    <fb>47.02</fb>
    <v>9</v>
  </rv>
  <rv s="2">
    <v>48</v>
    <v>7</v>
    <v>121</v>
    <v>7</v>
    <v>0</v>
    <v>Image of Valenzuela, Metro Manila</v>
  </rv>
  <rv s="1">
    <fb>14.7</fb>
    <v>10</v>
  </rv>
  <rv s="0">
    <v>805306368</v>
    <v>Wes Gatchalian (Mayor)</v>
    <v>aef11db3-b31c-39ef-5a0d-226e71471135</v>
    <v>en-US</v>
    <v>Generic</v>
  </rv>
  <rv s="5">
    <v>47</v>
  </rv>
  <rv s="3">
    <v>https://www.bing.com/search?q=valenzuela+philippines&amp;form=skydnc</v>
    <v>Learn more on Bing</v>
  </rv>
  <rv s="1">
    <fb>714978</fb>
    <v>9</v>
  </rv>
  <rv s="10">
    <v>#VALUE!</v>
    <v>en-US</v>
    <v>4165515f-4aa6-4852-e2e8-6516cbd68027</v>
    <v>536870912</v>
    <v>1</v>
    <v>122</v>
    <v>47</v>
    <v>Valenzuela, Metro Manila</v>
    <v>5</v>
    <v>6</v>
    <v>Map</v>
    <v>7</v>
    <v>8</v>
    <v>1</v>
    <v>500</v>
    <v>4</v>
    <v>Valenzuela, officially the City of Valenzuela, is a 1st class highly urbanized city in the National Capital Region of the Philippines. According to the 2020 census, it has a population of 714,978 people.</v>
    <v>501</v>
    <v>502</v>
    <v>504</v>
    <v>505</v>
    <v>260</v>
    <v>Valenzuela, Metro Manila</v>
    <v>506</v>
    <v>Valenzuela, Metro Manila</v>
    <v>mdp/vdpid/7897977289890070530</v>
  </rv>
  <rv s="0">
    <v>536870912</v>
    <v>Zamboanga City</v>
    <v>37eb6d05-e9d4-c0b2-6af6-1842d60405bb</v>
    <v>en-US</v>
    <v>Map</v>
  </rv>
  <rv s="1">
    <fb>1414.7</fb>
    <v>9</v>
  </rv>
  <rv s="2">
    <v>49</v>
    <v>7</v>
    <v>123</v>
    <v>7</v>
    <v>0</v>
    <v>Image of Zamboanga City</v>
  </rv>
  <rv s="1">
    <fb>6.9041666666666703</fb>
    <v>10</v>
  </rv>
  <rv s="0">
    <v>805306368</v>
    <v>John M. Dalipe (Mayor)</v>
    <v>bd590297-d485-f601-87f9-1ac91f567e6f</v>
    <v>en-US</v>
    <v>Generic</v>
  </rv>
  <rv s="5">
    <v>48</v>
  </rv>
  <rv s="3">
    <v>https://www.bing.com/search?q=zamboanga+city&amp;form=skydnc</v>
    <v>Learn more on Bing</v>
  </rv>
  <rv s="1">
    <fb>122.076111111111</fb>
    <v>10</v>
  </rv>
  <rv s="1">
    <fb>977234</fb>
    <v>9</v>
  </rv>
  <rv s="14">
    <v>#VALUE!</v>
    <v>en-US</v>
    <v>37eb6d05-e9d4-c0b2-6af6-1842d60405bb</v>
    <v>536870912</v>
    <v>1</v>
    <v>124</v>
    <v>125</v>
    <v>Zamboanga City</v>
    <v>5</v>
    <v>6</v>
    <v>Map</v>
    <v>7</v>
    <v>8</v>
    <v>509</v>
    <v>4</v>
    <v>Zamboanga City, officially the City of Zamboanga, is a 1st class highly urbanized city in the Zamboanga Peninsula region of the Philippines. According to the 2020 census, it has a population of 977,234 people. It is the fifth-most populous and ...</v>
    <v>510</v>
    <v>511</v>
    <v>513</v>
    <v>514</v>
    <v>515</v>
    <v>Zamboanga City</v>
    <v>516</v>
    <v>21</v>
    <v>Zamboanga City</v>
    <v>mdp/vdpid/7912589513069690881</v>
  </rv>
</rvData>
</file>

<file path=xl/richData/rdrichvaluestructure.xml><?xml version="1.0" encoding="utf-8"?>
<rvStructures xmlns="http://schemas.microsoft.com/office/spreadsheetml/2017/richdata" count="15">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10">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spbArrays>
  <spbData count="126">
    <spb s="0">
      <v xml:space="preserve">Wikipedia	</v>
      <v xml:space="preserve">CC-BY-SA	</v>
      <v xml:space="preserve">http://en.wikipedia.org/wiki/Alabang	</v>
      <v xml:space="preserve">http://creativecommons.org/licenses/by-sa/3.0/	</v>
    </spb>
    <spb s="0">
      <v xml:space="preserve">Wikipedia	</v>
      <v xml:space="preserve">CC BY-SA 3.0	</v>
      <v xml:space="preserve">https://en.wikipedia.org/wiki/Alabang	</v>
      <v xml:space="preserve">https://creativecommons.org/licenses/by-sa/3.0	</v>
    </spb>
    <spb s="1">
      <v>0</v>
      <v>1</v>
      <v>1</v>
      <v>1</v>
      <v>1</v>
      <v>1</v>
      <v>1</v>
      <v>1</v>
      <v>1</v>
      <v>1</v>
    </spb>
    <spb s="2">
      <v>0</v>
      <v>Name</v>
      <v>LearnMoreOnLink</v>
    </spb>
    <spb s="3">
      <v>0</v>
      <v>0</v>
      <v>0</v>
    </spb>
    <spb s="4">
      <v>4</v>
      <v>4</v>
      <v>4</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https://en.wikipedia.org/wiki/Angeles_City	</v>
      <v xml:space="preserve">https://creativecommons.org/licenses/by-sa/3.0	</v>
    </spb>
    <spb s="9">
      <v>11</v>
      <v>11</v>
      <v>11</v>
      <v>11</v>
      <v>11</v>
      <v>11</v>
      <v>11</v>
      <v>11</v>
      <v>11</v>
    </spb>
    <spb s="2">
      <v>1</v>
      <v>Name</v>
      <v>LearnMoreOnLink</v>
    </spb>
    <spb s="0">
      <v xml:space="preserve">Wikipedia	</v>
      <v xml:space="preserve">CC BY-SA 3.0	</v>
      <v xml:space="preserve">https://en.wikipedia.org/wiki/Bacolod	</v>
      <v xml:space="preserve">https://creativecommons.org/licenses/by-sa/3.0	</v>
    </spb>
    <spb s="9">
      <v>14</v>
      <v>14</v>
      <v>14</v>
      <v>14</v>
      <v>14</v>
      <v>14</v>
      <v>14</v>
      <v>14</v>
      <v>14</v>
    </spb>
    <spb s="0">
      <v xml:space="preserve">Wikipedia	</v>
      <v xml:space="preserve">CC BY-SA 3.0	</v>
      <v xml:space="preserve">https://en.wikipedia.org/wiki/Baguio	</v>
      <v xml:space="preserve">https://creativecommons.org/licenses/by-sa/3.0	</v>
    </spb>
    <spb s="9">
      <v>16</v>
      <v>16</v>
      <v>16</v>
      <v>16</v>
      <v>16</v>
      <v>16</v>
      <v>16</v>
      <v>16</v>
      <v>16</v>
    </spb>
    <spb s="2">
      <v>2</v>
      <v>Name</v>
      <v>LearnMoreOnLink</v>
    </spb>
    <spb s="0">
      <v xml:space="preserve">Wikipedia	</v>
      <v xml:space="preserve">CC BY-SA 3.0	</v>
      <v xml:space="preserve">https://en.wikipedia.org/wiki/Baliwag	</v>
      <v xml:space="preserve">https://creativecommons.org/licenses/by-sa/3.0	</v>
    </spb>
    <spb s="9">
      <v>19</v>
      <v>19</v>
      <v>19</v>
      <v>19</v>
      <v>19</v>
      <v>19</v>
      <v>19</v>
      <v>19</v>
      <v>19</v>
    </spb>
    <spb s="0">
      <v xml:space="preserve">Wikipedia	</v>
      <v xml:space="preserve">CC BY-SA 3.0	</v>
      <v xml:space="preserve">https://en.wikipedia.org/wiki/Batangas	</v>
      <v xml:space="preserve">https://creativecommons.org/licenses/by-sa/3.0	</v>
    </spb>
    <spb s="0">
      <v xml:space="preserve">Wikipedia	</v>
      <v xml:space="preserve">CC-BY-SA	</v>
      <v xml:space="preserve">http://en.wikipedia.org/wiki/Batangas	</v>
      <v xml:space="preserve">http://creativecommons.org/licenses/by-sa/3.0/	</v>
    </spb>
    <spb s="10">
      <v>21</v>
      <v>21</v>
      <v>21</v>
      <v>21</v>
      <v>21</v>
      <v>22</v>
      <v>21</v>
      <v>21</v>
      <v>21</v>
    </spb>
    <spb s="2">
      <v>3</v>
      <v>Name</v>
      <v>LearnMoreOnLink</v>
    </spb>
    <spb s="0">
      <v xml:space="preserve">Wikipedia	</v>
      <v xml:space="preserve">CC BY-SA 3.0	</v>
      <v xml:space="preserve">https://en.wikipedia.org/wiki/Lipa,_Batangas	</v>
      <v xml:space="preserve">https://creativecommons.org/licenses/by-sa/3.0	</v>
    </spb>
    <spb s="9">
      <v>25</v>
      <v>25</v>
      <v>25</v>
      <v>25</v>
      <v>25</v>
      <v>25</v>
      <v>25</v>
      <v>25</v>
      <v>25</v>
    </spb>
    <spb s="0">
      <v xml:space="preserve">Wikipedia	</v>
      <v xml:space="preserve">CC BY-SA 3.0	</v>
      <v xml:space="preserve">https://en.wikipedia.org/wiki/Butuan	</v>
      <v xml:space="preserve">https://creativecommons.org/licenses/by-sa/3.0	</v>
    </spb>
    <spb s="9">
      <v>27</v>
      <v>27</v>
      <v>27</v>
      <v>27</v>
      <v>27</v>
      <v>27</v>
      <v>27</v>
      <v>27</v>
      <v>27</v>
    </spb>
    <spb s="0">
      <v xml:space="preserve">Wikipedia	</v>
      <v xml:space="preserve">CC BY-SA 3.0	</v>
      <v xml:space="preserve">https://en.wikipedia.org/wiki/Cabanatuan	</v>
      <v xml:space="preserve">https://creativecommons.org/licenses/by-sa/3.0	</v>
    </spb>
    <spb s="9">
      <v>29</v>
      <v>29</v>
      <v>29</v>
      <v>29</v>
      <v>29</v>
      <v>29</v>
      <v>29</v>
      <v>29</v>
      <v>29</v>
    </spb>
    <spb s="0">
      <v xml:space="preserve">Wikipedia	</v>
      <v xml:space="preserve">CC BY-SA 3.0	</v>
      <v xml:space="preserve">https://en.wikipedia.org/wiki/Cagayan_de_Oro	</v>
      <v xml:space="preserve">https://creativecommons.org/licenses/by-sa/3.0	</v>
    </spb>
    <spb s="9">
      <v>31</v>
      <v>31</v>
      <v>31</v>
      <v>31</v>
      <v>31</v>
      <v>31</v>
      <v>31</v>
      <v>31</v>
      <v>31</v>
    </spb>
    <spb s="0">
      <v xml:space="preserve">Wikipedia	</v>
      <v xml:space="preserve">CC BY-SA 3.0	</v>
      <v xml:space="preserve">https://en.wikipedia.org/wiki/Calasiao	</v>
      <v xml:space="preserve">https://creativecommons.org/licenses/by-sa/3.0	</v>
    </spb>
    <spb s="9">
      <v>33</v>
      <v>33</v>
      <v>33</v>
      <v>33</v>
      <v>33</v>
      <v>33</v>
      <v>33</v>
      <v>33</v>
      <v>33</v>
    </spb>
    <spb s="0">
      <v xml:space="preserve">Wikipedia	</v>
      <v xml:space="preserve">CC BY-SA 3.0	</v>
      <v xml:space="preserve">https://en.wikipedia.org/wiki/Carmona,_Cavite	</v>
      <v xml:space="preserve">https://creativecommons.org/licenses/by-sa/3.0	</v>
    </spb>
    <spb s="9">
      <v>35</v>
      <v>35</v>
      <v>35</v>
      <v>35</v>
      <v>35</v>
      <v>35</v>
      <v>35</v>
      <v>35</v>
      <v>35</v>
    </spb>
    <spb s="0">
      <v xml:space="preserve">Wikipedia	</v>
      <v xml:space="preserve">CC BY-SA 3.0	</v>
      <v xml:space="preserve">https://en.wikipedia.org/wiki/Cordon,_Isabela	</v>
      <v xml:space="preserve">https://creativecommons.org/licenses/by-sa/3.0	</v>
    </spb>
    <spb s="9">
      <v>37</v>
      <v>37</v>
      <v>37</v>
      <v>37</v>
      <v>37</v>
      <v>37</v>
      <v>37</v>
      <v>37</v>
      <v>37</v>
    </spb>
    <spb s="0">
      <v xml:space="preserve">Wikipedia	</v>
      <v xml:space="preserve">CC BY-SA 3.0	</v>
      <v xml:space="preserve">https://en.wikipedia.org/wiki/Isabela_(province)	</v>
      <v xml:space="preserve">https://creativecommons.org/licenses/by-sa/3.0	</v>
    </spb>
    <spb s="0">
      <v xml:space="preserve">Wikipedia	</v>
      <v xml:space="preserve">CC-BY-SA	</v>
      <v xml:space="preserve">http://en.wikipedia.org/wiki/Isabela_(province)	</v>
      <v xml:space="preserve">http://creativecommons.org/licenses/by-sa/3.0/	</v>
    </spb>
    <spb s="10">
      <v>39</v>
      <v>39</v>
      <v>39</v>
      <v>39</v>
      <v>39</v>
      <v>40</v>
      <v>39</v>
      <v>39</v>
      <v>39</v>
    </spb>
    <spb s="2">
      <v>4</v>
      <v>Name</v>
      <v>LearnMoreOnLink</v>
    </spb>
    <spb s="0">
      <v xml:space="preserve">Wikipedia	</v>
      <v xml:space="preserve">CC BY-SA 3.0	</v>
      <v xml:space="preserve">https://en.wikipedia.org/wiki/Dumaguete	</v>
      <v xml:space="preserve">https://creativecommons.org/licenses/by-sa/3.0	</v>
    </spb>
    <spb s="9">
      <v>43</v>
      <v>43</v>
      <v>43</v>
      <v>43</v>
      <v>43</v>
      <v>43</v>
      <v>43</v>
      <v>43</v>
      <v>43</v>
    </spb>
    <spb s="0">
      <v xml:space="preserve">Wikipedia	</v>
      <v xml:space="preserve">CC BY-SA 3.0	</v>
      <v xml:space="preserve">https://en.wikipedia.org/wiki/Quezon_City	</v>
      <v xml:space="preserve">https://creativecommons.org/licenses/by-sa/3.0	</v>
    </spb>
    <spb s="11">
      <v>45</v>
      <v>45</v>
      <v>45</v>
      <v>45</v>
      <v>45</v>
      <v>45</v>
      <v>45</v>
      <v>45</v>
      <v>45</v>
    </spb>
    <spb s="2">
      <v>5</v>
      <v>Name</v>
      <v>LearnMoreOnLink</v>
    </spb>
    <spb s="0">
      <v xml:space="preserve">Wikipedia	</v>
      <v xml:space="preserve">CC BY-SA 3.0	</v>
      <v xml:space="preserve">https://en.wikipedia.org/wiki/General_Santos	</v>
      <v xml:space="preserve">https://creativecommons.org/licenses/by-sa/3.0	</v>
    </spb>
    <spb s="9">
      <v>48</v>
      <v>48</v>
      <v>48</v>
      <v>48</v>
      <v>48</v>
      <v>48</v>
      <v>48</v>
      <v>48</v>
      <v>48</v>
    </spb>
    <spb s="0">
      <v xml:space="preserve">Wikipedia	</v>
      <v xml:space="preserve">CC BY-SA 3.0	</v>
      <v xml:space="preserve">https://en.wikipedia.org/wiki/Iligan	</v>
      <v xml:space="preserve">https://creativecommons.org/licenses/by-sa/3.0	</v>
    </spb>
    <spb s="9">
      <v>50</v>
      <v>50</v>
      <v>50</v>
      <v>50</v>
      <v>50</v>
      <v>50</v>
      <v>50</v>
      <v>50</v>
      <v>50</v>
    </spb>
    <spb s="0">
      <v xml:space="preserve">Wikipedia	</v>
      <v xml:space="preserve">CC BY-SA 3.0	</v>
      <v xml:space="preserve">https://en.wikipedia.org/wiki/Iloilo	</v>
      <v xml:space="preserve">https://creativecommons.org/licenses/by-sa/3.0	</v>
    </spb>
    <spb s="0">
      <v xml:space="preserve">Wikipedia	</v>
      <v xml:space="preserve">CC-BY-SA	</v>
      <v xml:space="preserve">http://en.wikipedia.org/wiki/Iloilo	</v>
      <v xml:space="preserve">http://creativecommons.org/licenses/by-sa/3.0/	</v>
    </spb>
    <spb s="10">
      <v>52</v>
      <v>52</v>
      <v>52</v>
      <v>52</v>
      <v>52</v>
      <v>53</v>
      <v>52</v>
      <v>52</v>
      <v>52</v>
    </spb>
    <spb s="0">
      <v xml:space="preserve">Wikipedia	</v>
      <v xml:space="preserve">CC BY-SA 3.0	</v>
      <v xml:space="preserve">https://en.wikipedia.org/wiki/Imus	</v>
      <v xml:space="preserve">https://creativecommons.org/licenses/by-sa/3.0	</v>
    </spb>
    <spb s="9">
      <v>55</v>
      <v>55</v>
      <v>55</v>
      <v>55</v>
      <v>55</v>
      <v>55</v>
      <v>55</v>
      <v>55</v>
      <v>55</v>
    </spb>
    <spb s="0">
      <v xml:space="preserve">Wikipedia	</v>
      <v xml:space="preserve">CC BY-SA 3.0	</v>
      <v xml:space="preserve">https://en.wikipedia.org/wiki/Jose_Abad_Santos,_Davao_Occidental	</v>
      <v xml:space="preserve">https://creativecommons.org/licenses/by-sa/3.0	</v>
    </spb>
    <spb s="9">
      <v>57</v>
      <v>57</v>
      <v>57</v>
      <v>57</v>
      <v>57</v>
      <v>57</v>
      <v>57</v>
      <v>57</v>
      <v>57</v>
    </spb>
    <spb s="0">
      <v xml:space="preserve">Wikipedia	</v>
      <v xml:space="preserve">CC BY-SA 3.0	</v>
      <v xml:space="preserve">https://en.wikipedia.org/wiki/Kidapawan	</v>
      <v xml:space="preserve">https://creativecommons.org/licenses/by-sa/3.0	</v>
    </spb>
    <spb s="9">
      <v>59</v>
      <v>59</v>
      <v>59</v>
      <v>59</v>
      <v>59</v>
      <v>59</v>
      <v>59</v>
      <v>59</v>
      <v>59</v>
    </spb>
    <spb s="0">
      <v xml:space="preserve">Wikipedia	</v>
      <v xml:space="preserve">CC BY-SA 3.0	</v>
      <v xml:space="preserve">https://en.wikipedia.org/wiki/La_Union	</v>
      <v xml:space="preserve">https://creativecommons.org/licenses/by-sa/3.0	</v>
    </spb>
    <spb s="0">
      <v xml:space="preserve">Wikipedia	</v>
      <v xml:space="preserve">CC-BY-SA	</v>
      <v xml:space="preserve">http://en.wikipedia.org/wiki/La_Union	</v>
      <v xml:space="preserve">http://creativecommons.org/licenses/by-sa/3.0/	</v>
    </spb>
    <spb s="10">
      <v>61</v>
      <v>61</v>
      <v>61</v>
      <v>61</v>
      <v>61</v>
      <v>62</v>
      <v>61</v>
      <v>61</v>
      <v>61</v>
    </spb>
    <spb s="0">
      <v xml:space="preserve">Wikipedia	</v>
      <v xml:space="preserve">CC BY-SA 3.0	</v>
      <v xml:space="preserve">https://en.wikipedia.org/wiki/Laoag	</v>
      <v xml:space="preserve">https://creativecommons.org/licenses/by-sa/3.0	</v>
    </spb>
    <spb s="9">
      <v>64</v>
      <v>64</v>
      <v>64</v>
      <v>64</v>
      <v>64</v>
      <v>64</v>
      <v>64</v>
      <v>64</v>
      <v>64</v>
    </spb>
    <spb s="0">
      <v xml:space="preserve">Wikipedia	</v>
      <v xml:space="preserve">CC BY-SA 3.0	</v>
      <v xml:space="preserve">https://en.wikipedia.org/wiki/Las_Pi%C3%B1as	</v>
      <v xml:space="preserve">https://creativecommons.org/licenses/by-sa/3.0	</v>
    </spb>
    <spb s="11">
      <v>66</v>
      <v>66</v>
      <v>66</v>
      <v>66</v>
      <v>66</v>
      <v>66</v>
      <v>66</v>
      <v>66</v>
      <v>66</v>
    </spb>
    <spb s="0">
      <v xml:space="preserve">Wikipedia	</v>
      <v xml:space="preserve">CC BY-SA 3.0	</v>
      <v xml:space="preserve">https://en.wikipedia.org/wiki/Makati	</v>
      <v xml:space="preserve">https://creativecommons.org/licenses/by-sa/3.0	</v>
    </spb>
    <spb s="11">
      <v>68</v>
      <v>68</v>
      <v>68</v>
      <v>68</v>
      <v>68</v>
      <v>68</v>
      <v>68</v>
      <v>68</v>
      <v>68</v>
    </spb>
    <spb s="0">
      <v xml:space="preserve">Wikipedia	</v>
      <v xml:space="preserve">CC BY-SA 3.0	</v>
      <v xml:space="preserve">https://en.wikipedia.org/wiki/Malolos	</v>
      <v xml:space="preserve">https://creativecommons.org/licenses/by-sa/3.0	</v>
    </spb>
    <spb s="9">
      <v>70</v>
      <v>70</v>
      <v>70</v>
      <v>70</v>
      <v>70</v>
      <v>70</v>
      <v>70</v>
      <v>70</v>
      <v>70</v>
    </spb>
    <spb s="0">
      <v xml:space="preserve">Wikipedia	</v>
      <v xml:space="preserve">CC BY-SA 3.0	</v>
      <v xml:space="preserve">https://en.wikipedia.org/wiki/Mandaue	</v>
      <v xml:space="preserve">https://creativecommons.org/licenses/by-sa/3.0	</v>
    </spb>
    <spb s="9">
      <v>72</v>
      <v>72</v>
      <v>72</v>
      <v>72</v>
      <v>72</v>
      <v>72</v>
      <v>72</v>
      <v>72</v>
      <v>72</v>
    </spb>
    <spb s="0">
      <v xml:space="preserve">Wikipedia	</v>
      <v xml:space="preserve">CC BY-SA 3.0	</v>
      <v xml:space="preserve">https://en.wikipedia.org/wiki/Mandurriao	</v>
      <v xml:space="preserve">https://creativecommons.org/licenses/by-sa/3.0	</v>
    </spb>
    <spb s="0">
      <v xml:space="preserve">Wikipedia	</v>
      <v xml:space="preserve">CC-BY-SA	</v>
      <v xml:space="preserve">http://en.wikipedia.org/wiki/Mandurriao	</v>
      <v xml:space="preserve">http://creativecommons.org/licenses/by-sa/3.0/	</v>
    </spb>
    <spb s="1">
      <v>74</v>
      <v>74</v>
      <v>74</v>
      <v>74</v>
      <v>75</v>
      <v>74</v>
      <v>74</v>
      <v>74</v>
      <v>74</v>
      <v>74</v>
    </spb>
    <spb s="2">
      <v>6</v>
      <v>Name</v>
      <v>LearnMoreOnLink</v>
    </spb>
    <spb s="0">
      <v xml:space="preserve">Wikipedia	</v>
      <v xml:space="preserve">CC BY-SA 3.0	</v>
      <v xml:space="preserve">https://en.wikipedia.org/wiki/Marilao	</v>
      <v xml:space="preserve">https://creativecommons.org/licenses/by-sa/3.0	</v>
    </spb>
    <spb s="9">
      <v>78</v>
      <v>78</v>
      <v>78</v>
      <v>78</v>
      <v>78</v>
      <v>78</v>
      <v>78</v>
      <v>78</v>
      <v>78</v>
    </spb>
    <spb s="0">
      <v xml:space="preserve">Wikipedia	</v>
      <v xml:space="preserve">CC BY-SA 3.0	</v>
      <v xml:space="preserve">https://en.wikipedia.org/wiki/Orani	</v>
      <v xml:space="preserve">https://creativecommons.org/licenses/by-sa/3.0	</v>
    </spb>
    <spb s="9">
      <v>80</v>
      <v>80</v>
      <v>80</v>
      <v>80</v>
      <v>80</v>
      <v>80</v>
      <v>80</v>
      <v>80</v>
      <v>80</v>
    </spb>
    <spb s="0">
      <v xml:space="preserve">Wikipedia	</v>
      <v xml:space="preserve">CC BY-SA 3.0	</v>
      <v xml:space="preserve">https://en.wikipedia.org/wiki/Ormoc	</v>
      <v xml:space="preserve">https://creativecommons.org/licenses/by-sa/3.0	</v>
    </spb>
    <spb s="9">
      <v>82</v>
      <v>82</v>
      <v>82</v>
      <v>82</v>
      <v>82</v>
      <v>82</v>
      <v>82</v>
      <v>82</v>
      <v>82</v>
    </spb>
    <spb s="0">
      <v xml:space="preserve">Wikipedia	</v>
      <v xml:space="preserve">CC BY-SA 3.0	</v>
      <v xml:space="preserve">https://en.wikipedia.org/wiki/Ozamiz	</v>
      <v xml:space="preserve">https://creativecommons.org/licenses/by-sa/3.0	</v>
    </spb>
    <spb s="9">
      <v>84</v>
      <v>84</v>
      <v>84</v>
      <v>84</v>
      <v>84</v>
      <v>84</v>
      <v>84</v>
      <v>84</v>
      <v>84</v>
    </spb>
    <spb s="0">
      <v xml:space="preserve">Wikipedia	</v>
      <v xml:space="preserve">CC BY-SA 3.0	</v>
      <v xml:space="preserve">https://en.wikipedia.org/wiki/Paco,_Manila	</v>
      <v xml:space="preserve">https://creativecommons.org/licenses/by-sa/3.0	</v>
    </spb>
    <spb s="12">
      <v>86</v>
      <v>86</v>
      <v>86</v>
      <v>86</v>
      <v>86</v>
      <v>86</v>
      <v>86</v>
      <v>86</v>
      <v>86</v>
    </spb>
    <spb s="2">
      <v>7</v>
      <v>Name</v>
      <v>LearnMoreOnLink</v>
    </spb>
    <spb s="13">
      <v>2010</v>
    </spb>
    <spb s="0">
      <v xml:space="preserve">Wikipedia	</v>
      <v xml:space="preserve">CC BY-SA 3.0	</v>
      <v xml:space="preserve">https://en.wikipedia.org/wiki/Palawan	</v>
      <v xml:space="preserve">https://creativecommons.org/licenses/by-sa/3.0	</v>
    </spb>
    <spb s="0">
      <v xml:space="preserve">Wikipedia	</v>
      <v xml:space="preserve">CC-BY-SA	</v>
      <v xml:space="preserve">http://en.wikipedia.org/wiki/Palawan	</v>
      <v xml:space="preserve">http://creativecommons.org/licenses/by-sa/3.0/	</v>
    </spb>
    <spb s="10">
      <v>90</v>
      <v>90</v>
      <v>90</v>
      <v>90</v>
      <v>90</v>
      <v>91</v>
      <v>90</v>
      <v>90</v>
      <v>90</v>
    </spb>
    <spb s="0">
      <v xml:space="preserve">Wikipedia	</v>
      <v xml:space="preserve">CC BY-SA 3.0	</v>
      <v xml:space="preserve">https://en.wikipedia.org/wiki/Pili,_Camarines_Sur	</v>
      <v xml:space="preserve">https://creativecommons.org/licenses/by-sa/3.0	</v>
    </spb>
    <spb s="9">
      <v>93</v>
      <v>93</v>
      <v>93</v>
      <v>93</v>
      <v>93</v>
      <v>93</v>
      <v>93</v>
      <v>93</v>
      <v>93</v>
    </spb>
    <spb s="0">
      <v xml:space="preserve">Wikipedia	</v>
      <v xml:space="preserve">CC BY-SA 3.0	</v>
      <v xml:space="preserve">https://en.wikipedia.org/wiki/Roxas,_Palawan	</v>
      <v xml:space="preserve">https://creativecommons.org/licenses/by-sa/3.0	</v>
    </spb>
    <spb s="9">
      <v>95</v>
      <v>95</v>
      <v>95</v>
      <v>95</v>
      <v>95</v>
      <v>95</v>
      <v>95</v>
      <v>95</v>
      <v>95</v>
    </spb>
    <spb s="0">
      <v xml:space="preserve">Wikipedia	</v>
      <v xml:space="preserve">CC BY-SA 3.0	</v>
      <v xml:space="preserve">https://en.wikipedia.org/wiki/San_Pablo,_Laguna	</v>
      <v xml:space="preserve">https://creativecommons.org/licenses/by-sa/3.0	</v>
    </spb>
    <spb s="9">
      <v>97</v>
      <v>97</v>
      <v>97</v>
      <v>97</v>
      <v>97</v>
      <v>97</v>
      <v>97</v>
      <v>97</v>
      <v>97</v>
    </spb>
    <spb s="0">
      <v xml:space="preserve">Wikipedia	</v>
      <v xml:space="preserve">CC BY-SA 3.0	</v>
      <v xml:space="preserve">https://en.wikipedia.org/wiki/Santa_Rosa,_Laguna	</v>
      <v xml:space="preserve">https://creativecommons.org/licenses/by-sa/3.0	</v>
    </spb>
    <spb s="9">
      <v>99</v>
      <v>99</v>
      <v>99</v>
      <v>99</v>
      <v>99</v>
      <v>99</v>
      <v>99</v>
      <v>99</v>
      <v>99</v>
    </spb>
    <spb s="0">
      <v xml:space="preserve">Wikipedia	</v>
      <v xml:space="preserve">CC BY-SA 3.0	</v>
      <v xml:space="preserve">https://en.wikipedia.org/wiki/Subic,_Zambales	</v>
      <v xml:space="preserve">https://creativecommons.org/licenses/by-sa/3.0	</v>
    </spb>
    <spb s="9">
      <v>101</v>
      <v>101</v>
      <v>101</v>
      <v>101</v>
      <v>101</v>
      <v>101</v>
      <v>101</v>
      <v>101</v>
      <v>101</v>
    </spb>
    <spb s="0">
      <v xml:space="preserve">Wikipedia	</v>
      <v xml:space="preserve">CC BY-SA 3.0	</v>
      <v xml:space="preserve">https://en.wikipedia.org/wiki/Tacloban	</v>
      <v xml:space="preserve">https://creativecommons.org/licenses/by-sa/3.0	</v>
    </spb>
    <spb s="1">
      <v>103</v>
      <v>103</v>
      <v>103</v>
      <v>103</v>
      <v>103</v>
      <v>103</v>
      <v>103</v>
      <v>103</v>
      <v>103</v>
      <v>103</v>
    </spb>
    <spb s="0">
      <v xml:space="preserve">Wikipedia	</v>
      <v xml:space="preserve">CC BY-SA 3.0	</v>
      <v xml:space="preserve">https://en.wikipedia.org/wiki/Tagbilaran	</v>
      <v xml:space="preserve">https://creativecommons.org/licenses/by-sa/3.0	</v>
    </spb>
    <spb s="9">
      <v>105</v>
      <v>105</v>
      <v>105</v>
      <v>105</v>
      <v>105</v>
      <v>105</v>
      <v>105</v>
      <v>105</v>
      <v>105</v>
    </spb>
    <spb s="0">
      <v xml:space="preserve">Wikipedia	</v>
      <v xml:space="preserve">CC BY-SA 3.0	</v>
      <v xml:space="preserve">https://en.wikipedia.org/wiki/Tagum	</v>
      <v xml:space="preserve">https://creativecommons.org/licenses/by-sa/3.0	</v>
    </spb>
    <spb s="9">
      <v>107</v>
      <v>107</v>
      <v>107</v>
      <v>107</v>
      <v>107</v>
      <v>107</v>
      <v>107</v>
      <v>107</v>
      <v>107</v>
    </spb>
    <spb s="0">
      <v xml:space="preserve">Wikipedia	</v>
      <v xml:space="preserve">CC BY-SA 3.0	</v>
      <v xml:space="preserve">https://en.wikipedia.org/wiki/Talisay,_Negros_Occidental	</v>
      <v xml:space="preserve">https://creativecommons.org/licenses/by-sa/3.0	</v>
    </spb>
    <spb s="9">
      <v>109</v>
      <v>109</v>
      <v>109</v>
      <v>109</v>
      <v>109</v>
      <v>109</v>
      <v>109</v>
      <v>109</v>
      <v>109</v>
    </spb>
    <spb s="0">
      <v xml:space="preserve">Wikipedia	</v>
      <v xml:space="preserve">CC BY-SA 3.0	</v>
      <v xml:space="preserve">https://en.wikipedia.org/wiki/Tarlac	</v>
      <v xml:space="preserve">https://creativecommons.org/licenses/by-sa/3.0	</v>
    </spb>
    <spb s="0">
      <v xml:space="preserve">Wikipedia	</v>
      <v xml:space="preserve">CC-BY-SA	</v>
      <v xml:space="preserve">http://en.wikipedia.org/wiki/Tarlac	</v>
      <v xml:space="preserve">http://creativecommons.org/licenses/by-sa/3.0/	</v>
    </spb>
    <spb s="10">
      <v>111</v>
      <v>111</v>
      <v>111</v>
      <v>111</v>
      <v>111</v>
      <v>112</v>
      <v>111</v>
      <v>111</v>
      <v>111</v>
    </spb>
    <spb s="0">
      <v xml:space="preserve">Wikipedia	</v>
      <v xml:space="preserve">CC BY-SA 3.0	</v>
      <v xml:space="preserve">https://en.wikipedia.org/wiki/Taytay,_Rizal	</v>
      <v xml:space="preserve">https://creativecommons.org/licenses/by-sa/3.0	</v>
    </spb>
    <spb s="14">
      <v>114</v>
      <v>114</v>
      <v>114</v>
      <v>114</v>
      <v>114</v>
      <v>114</v>
      <v>114</v>
      <v>114</v>
    </spb>
    <spb s="2">
      <v>8</v>
      <v>Name</v>
      <v>LearnMoreOnLink</v>
    </spb>
    <spb s="0">
      <v xml:space="preserve">Wikipedia	</v>
      <v xml:space="preserve">CC BY-SA 3.0	</v>
      <v xml:space="preserve">https://en.wikipedia.org/wiki/Tuguegarao	</v>
      <v xml:space="preserve">https://creativecommons.org/licenses/by-sa/3.0	</v>
    </spb>
    <spb s="9">
      <v>117</v>
      <v>117</v>
      <v>117</v>
      <v>117</v>
      <v>117</v>
      <v>117</v>
      <v>117</v>
      <v>117</v>
      <v>117</v>
    </spb>
    <spb s="0">
      <v xml:space="preserve">Wikipedia	</v>
      <v xml:space="preserve">CC BY-SA 3.0	</v>
      <v xml:space="preserve">https://en.wikipedia.org/wiki/Urdaneta,_Pangasinan	</v>
      <v xml:space="preserve">https://creativecommons.org/licenses/by-sa/3.0	</v>
    </spb>
    <spb s="9">
      <v>119</v>
      <v>119</v>
      <v>119</v>
      <v>119</v>
      <v>119</v>
      <v>119</v>
      <v>119</v>
      <v>119</v>
      <v>119</v>
    </spb>
    <spb s="0">
      <v xml:space="preserve">Wikipedia	</v>
      <v xml:space="preserve">CC BY-SA 3.0	</v>
      <v xml:space="preserve">https://en.wikipedia.org/wiki/Valenzuela,_Metro_Manila	</v>
      <v xml:space="preserve">https://creativecommons.org/licenses/by-sa/3.0	</v>
    </spb>
    <spb s="11">
      <v>121</v>
      <v>121</v>
      <v>121</v>
      <v>121</v>
      <v>121</v>
      <v>121</v>
      <v>121</v>
      <v>121</v>
      <v>121</v>
    </spb>
    <spb s="0">
      <v xml:space="preserve">Wikipedia	</v>
      <v xml:space="preserve">CC BY-SA 3.0	</v>
      <v xml:space="preserve">https://en.wikipedia.org/wiki/Zamboanga_City	</v>
      <v xml:space="preserve">https://creativecommons.org/licenses/by-sa/3.0	</v>
    </spb>
    <spb s="14">
      <v>123</v>
      <v>123</v>
      <v>123</v>
      <v>123</v>
      <v>123</v>
      <v>123</v>
      <v>123</v>
      <v>123</v>
    </spb>
    <spb s="2">
      <v>9</v>
      <v>Name</v>
      <v>LearnMoreOnLink</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2 (County/district/other)" t="spb"/>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k n="Admin Division 2 (County/district/other)" t="spb"/>
  </s>
  <s>
    <k n="Population" t="s"/>
  </s>
  <s>
    <k n="Area" t="spb"/>
    <k n="Name" t="spb"/>
    <k n="Latitude" t="spb"/>
    <k n="Longitude" t="spb"/>
    <k n="Population"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BB004-0C29-4556-9C15-5D74D8BD85AF}" name="Table13" displayName="Table13" ref="A2:P78" totalsRowCount="1" headerRowDxfId="97" dataDxfId="96" totalsRowDxfId="95">
  <autoFilter ref="A2:P77" xr:uid="{00000000-0009-0000-0100-000001000000}">
    <filterColumn colId="6">
      <filters>
        <filter val="WORSHOP SUP"/>
      </filters>
    </filterColumn>
  </autoFilter>
  <tableColumns count="16">
    <tableColumn id="5" xr3:uid="{35632390-191F-47ED-9AFA-A8BD8B78A805}" name="No." dataDxfId="94" totalsRowDxfId="93"/>
    <tableColumn id="1" xr3:uid="{89D04C85-4E5C-4C58-8F71-058D6AD74F52}" name="Category" totalsRowLabel="Total" dataDxfId="92" totalsRowDxfId="91"/>
    <tableColumn id="2" xr3:uid="{214B914C-EAC9-45FF-80ED-088578B3B164}" name="Coverage" dataDxfId="90" totalsRowDxfId="89"/>
    <tableColumn id="3" xr3:uid="{0184FD89-45AB-4156-BC55-5B1F555381A2}" name="Subject" dataDxfId="88" totalsRowDxfId="87"/>
    <tableColumn id="4" xr3:uid="{157BD70D-0C04-43CD-8696-1661D8A1603F}" name="Check Item" dataDxfId="86" totalsRowDxfId="85"/>
    <tableColumn id="15" xr3:uid="{3F18509E-BEA5-4773-A1E8-50638F49E12A}" name="Person Accountable" dataDxfId="84" totalsRowDxfId="83"/>
    <tableColumn id="12" xr3:uid="{40BF0FB4-336D-4D1C-AB8D-17FC8A0FD229}" name="Checker" dataDxfId="82" totalsRowDxfId="81"/>
    <tableColumn id="6" xr3:uid="{00BC1C14-B6FB-445D-A9E6-472E95DAFEAD}" name="Judgment" dataDxfId="80" totalsRowDxfId="79"/>
    <tableColumn id="14" xr3:uid="{80E341B0-7E57-4EAF-A20A-A5A74356A6BB}" name="Findings" dataDxfId="78" totalsRowDxfId="77"/>
    <tableColumn id="16" xr3:uid="{366690A0-B195-4F90-987B-B7E529BBC0E6}" name="BOM Task" dataDxfId="76" totalsRowDxfId="75"/>
    <tableColumn id="13" xr3:uid="{EBFB8AC9-48FF-41A6-8CA5-06353C7CCA73}" name="Escalation" dataDxfId="74" totalsRowDxfId="73"/>
    <tableColumn id="8" xr3:uid="{123427CA-6782-4AEB-B9BE-024490208A81}" name="Action Plan" dataDxfId="72" totalsRowDxfId="71"/>
    <tableColumn id="9" xr3:uid="{76A15D45-37DA-4122-8CDD-7DECF67BEF61}" name="Commitment Date" dataDxfId="70" totalsRowDxfId="69"/>
    <tableColumn id="7" xr3:uid="{4451D9FD-31FD-4D03-9D26-16782B11BC0A}" name="Count NA" dataDxfId="68" totalsRowDxfId="67">
      <calculatedColumnFormula>IF(NOT(H3="N/A"),B3,"N/A")</calculatedColumnFormula>
    </tableColumn>
    <tableColumn id="10" xr3:uid="{DB3DB52D-55FD-4844-ABFA-80823111A7DB}" name="Audit Result Part 1" dataDxfId="66" totalsRowDxfId="65">
      <calculatedColumnFormula>IF(H3="YES",B3,IF(H3="N/A","N/A","NO"))</calculatedColumnFormula>
    </tableColumn>
    <tableColumn id="11" xr3:uid="{6513FB51-BEEC-4D45-8F6A-3AF3461F85BD}" name="Audit Result Part 2" dataDxfId="64" totalsRowDxfId="63">
      <calculatedColumnFormula>IF(H3="YES",C3,IF(H3="N/A","N/A","NO"))</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E5B64-9FA1-4581-8059-33F395EA8230}" name="Table132" displayName="Table132" ref="A2:F78" totalsRowCount="1" headerRowDxfId="62" dataDxfId="61" totalsRowDxfId="60">
  <autoFilter ref="A2:F77" xr:uid="{00000000-0009-0000-0100-000001000000}"/>
  <tableColumns count="6">
    <tableColumn id="5" xr3:uid="{491A35CE-C40C-43E3-B873-FDAE1561C661}" name="No." dataDxfId="59" totalsRowDxfId="58"/>
    <tableColumn id="1" xr3:uid="{7A71C050-3B6A-4C5C-973B-68F285EF0144}" name="Category" totalsRowLabel="Total" dataDxfId="57" totalsRowDxfId="56"/>
    <tableColumn id="2" xr3:uid="{A37A5553-F880-4E32-9146-C0E8C2340E45}" name="Coverage" dataDxfId="55" totalsRowDxfId="54"/>
    <tableColumn id="3" xr3:uid="{7E53B6E6-BD89-4E76-BAAC-6E76C2DFF706}" name="Subject" dataDxfId="53" totalsRowDxfId="52"/>
    <tableColumn id="4" xr3:uid="{ED984305-70E0-4B08-81D8-86F2DF51AD7A}" name="Check Item" dataDxfId="51" totalsRowDxfId="50"/>
    <tableColumn id="11" xr3:uid="{78E0FBFA-26C1-4E71-A709-92C9DC139484}" name="How to Check" dataDxfId="49" totalsRowDxfId="48"/>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6"/>
  <sheetViews>
    <sheetView showGridLines="0" zoomScale="83" zoomScaleNormal="115" zoomScaleSheetLayoutView="115" zoomScalePageLayoutView="70" workbookViewId="0">
      <selection activeCell="G56" sqref="G56"/>
    </sheetView>
  </sheetViews>
  <sheetFormatPr defaultColWidth="9.140625" defaultRowHeight="12"/>
  <cols>
    <col min="1" max="1" width="6.28515625" style="32" customWidth="1"/>
    <col min="2" max="3" width="20.42578125" style="32" customWidth="1"/>
    <col min="4" max="7" width="21" style="32" customWidth="1"/>
    <col min="8" max="16384" width="9.140625" style="32"/>
  </cols>
  <sheetData>
    <row r="1" spans="1:7" ht="25.9" customHeight="1">
      <c r="A1" s="130" t="s">
        <v>0</v>
      </c>
      <c r="B1" s="131"/>
      <c r="C1" s="131"/>
      <c r="D1" s="131"/>
      <c r="E1" s="131"/>
      <c r="F1" s="131"/>
      <c r="G1" s="132"/>
    </row>
    <row r="2" spans="1:7" ht="11.65" customHeight="1">
      <c r="A2" s="133"/>
      <c r="B2" s="134"/>
      <c r="C2" s="134"/>
      <c r="D2" s="134"/>
      <c r="E2" s="134"/>
      <c r="F2" s="134"/>
      <c r="G2" s="135"/>
    </row>
    <row r="3" spans="1:7" ht="15.75" customHeight="1">
      <c r="A3" s="33"/>
      <c r="B3" s="26" t="s">
        <v>1</v>
      </c>
      <c r="C3" s="136" t="e">
        <f>VLOOKUP(C5,Sheet1!A:B,2,0)</f>
        <v>#N/A</v>
      </c>
      <c r="D3" s="136"/>
      <c r="E3" s="136"/>
      <c r="F3" s="26" t="s">
        <v>2</v>
      </c>
      <c r="G3" s="110"/>
    </row>
    <row r="4" spans="1:7" ht="6" customHeight="1">
      <c r="A4" s="33"/>
      <c r="B4" s="26"/>
      <c r="C4" s="27"/>
      <c r="D4" s="27"/>
      <c r="E4" s="27"/>
      <c r="F4" s="27"/>
      <c r="G4" s="28"/>
    </row>
    <row r="5" spans="1:7" ht="15.75" customHeight="1">
      <c r="A5" s="33"/>
      <c r="B5" s="26" t="s">
        <v>3</v>
      </c>
      <c r="C5" s="137"/>
      <c r="D5" s="137"/>
      <c r="E5" s="137"/>
      <c r="F5" s="26" t="s">
        <v>4</v>
      </c>
      <c r="G5" s="110"/>
    </row>
    <row r="6" spans="1:7">
      <c r="A6" s="33"/>
      <c r="G6" s="34"/>
    </row>
    <row r="7" spans="1:7" ht="18" customHeight="1">
      <c r="A7" s="127" t="s">
        <v>5</v>
      </c>
      <c r="B7" s="128"/>
      <c r="C7" s="128"/>
      <c r="D7" s="128"/>
      <c r="E7" s="128"/>
      <c r="F7" s="128"/>
      <c r="G7" s="129"/>
    </row>
    <row r="8" spans="1:7" ht="20.25" customHeight="1">
      <c r="A8" s="35" t="s">
        <v>6</v>
      </c>
      <c r="B8" s="144" t="s">
        <v>7</v>
      </c>
      <c r="C8" s="144"/>
      <c r="D8" s="36" t="s">
        <v>8</v>
      </c>
      <c r="E8" s="37" t="s">
        <v>9</v>
      </c>
      <c r="F8" s="36" t="s">
        <v>10</v>
      </c>
      <c r="G8" s="38" t="s">
        <v>11</v>
      </c>
    </row>
    <row r="9" spans="1:7" ht="20.65" customHeight="1">
      <c r="A9" s="21" t="s">
        <v>12</v>
      </c>
      <c r="B9" s="145" t="s">
        <v>13</v>
      </c>
      <c r="C9" s="145"/>
      <c r="D9" s="22">
        <f>COUNTIF('Main Form'!$B$3:$B$92,Summary!B9)-COUNTIFS('Main Form'!$B$3:$B$92,Summary!B9,'Main Form'!$P$3:$P$92,"N/A")</f>
        <v>8</v>
      </c>
      <c r="E9" s="105">
        <f>COUNTIF('Main Form'!$P$3:$P$92,B9)</f>
        <v>0</v>
      </c>
      <c r="F9" s="23">
        <f>E9/D9</f>
        <v>0</v>
      </c>
      <c r="G9" s="24" t="str">
        <f>IF(F9&lt;100%,"FAIL", "PASS")</f>
        <v>FAIL</v>
      </c>
    </row>
    <row r="10" spans="1:7" ht="20.65" customHeight="1">
      <c r="A10" s="21" t="s">
        <v>14</v>
      </c>
      <c r="B10" s="145" t="s">
        <v>15</v>
      </c>
      <c r="C10" s="145"/>
      <c r="D10" s="22">
        <f>COUNTIF('Main Form'!$B$3:$B$92,Summary!B10)-COUNTIFS('Main Form'!$B$3:$B$92,Summary!B10,'Main Form'!$P$3:$P$92,"N/A")</f>
        <v>63</v>
      </c>
      <c r="E10" s="105">
        <f>COUNTIF('Main Form'!$P$3:$P$92,B10)</f>
        <v>0</v>
      </c>
      <c r="F10" s="23">
        <f>E10/D10</f>
        <v>0</v>
      </c>
      <c r="G10" s="24" t="str">
        <f>IF(F10&lt;80%,"FAIL", "PASS")</f>
        <v>FAIL</v>
      </c>
    </row>
    <row r="11" spans="1:7" ht="20.65" customHeight="1">
      <c r="A11" s="21" t="s">
        <v>16</v>
      </c>
      <c r="B11" s="145" t="s">
        <v>17</v>
      </c>
      <c r="C11" s="145"/>
      <c r="D11" s="22">
        <f>COUNTIF('Main Form'!$B$3:$B$92,Summary!B11)-COUNTIFS('Main Form'!$B$3:$B$92,Summary!B11,'Main Form'!$P$3:$P$92,"N/A")</f>
        <v>4</v>
      </c>
      <c r="E11" s="105">
        <f>COUNTIF('Main Form'!$P$3:$P$92,B11)</f>
        <v>0</v>
      </c>
      <c r="F11" s="23">
        <f>E11/D11</f>
        <v>0</v>
      </c>
      <c r="G11" s="25"/>
    </row>
    <row r="12" spans="1:7" ht="20.65" customHeight="1">
      <c r="A12" s="146" t="s">
        <v>18</v>
      </c>
      <c r="B12" s="147"/>
      <c r="C12" s="147"/>
      <c r="D12" s="29">
        <f>SUM(D9:D11)</f>
        <v>75</v>
      </c>
      <c r="E12" s="30">
        <f>SUM(E9:E11)</f>
        <v>0</v>
      </c>
      <c r="F12" s="31">
        <f>E12/D12</f>
        <v>0</v>
      </c>
      <c r="G12" s="24" t="str">
        <f>IF(F12&lt;80%,"FAIL",IF(OR(G9="FAIL",G10="FAIL",G11="FAIL"),"FAIL","PASS"))</f>
        <v>FAIL</v>
      </c>
    </row>
    <row r="13" spans="1:7" ht="6" customHeight="1">
      <c r="A13" s="39"/>
      <c r="B13" s="40"/>
      <c r="C13" s="40"/>
      <c r="D13" s="40"/>
      <c r="E13" s="40"/>
      <c r="F13" s="41"/>
      <c r="G13" s="42"/>
    </row>
    <row r="14" spans="1:7" ht="18" customHeight="1">
      <c r="A14" s="138" t="s">
        <v>19</v>
      </c>
      <c r="B14" s="139"/>
      <c r="C14" s="139"/>
      <c r="D14" s="139"/>
      <c r="E14" s="139"/>
      <c r="F14" s="139"/>
      <c r="G14" s="140"/>
    </row>
    <row r="15" spans="1:7" ht="20.65" customHeight="1">
      <c r="A15" s="43" t="s">
        <v>6</v>
      </c>
      <c r="B15" s="141" t="s">
        <v>20</v>
      </c>
      <c r="C15" s="141"/>
      <c r="D15" s="44" t="s">
        <v>8</v>
      </c>
      <c r="E15" s="45" t="s">
        <v>9</v>
      </c>
      <c r="F15" s="142" t="s">
        <v>10</v>
      </c>
      <c r="G15" s="143"/>
    </row>
    <row r="16" spans="1:7" ht="26.65" customHeight="1">
      <c r="A16" s="46">
        <v>1</v>
      </c>
      <c r="B16" s="125" t="s">
        <v>21</v>
      </c>
      <c r="C16" s="126"/>
      <c r="D16" s="47">
        <f>COUNTIF('Main Form'!$C$3:$C$92,Summary!B16)-COUNTIFS('Main Form'!$C$3:$C$92,Summary!B16,'Main Form'!$Q$3:$Q$92,"N/A")</f>
        <v>12</v>
      </c>
      <c r="E16" s="105">
        <f>COUNTIFS('Main Form'!$Q$3:$Q$92,B16)</f>
        <v>0</v>
      </c>
      <c r="F16" s="123">
        <f t="shared" ref="F16:F31" si="0">E16/D16</f>
        <v>0</v>
      </c>
      <c r="G16" s="124"/>
    </row>
    <row r="17" spans="1:12" ht="26.65" customHeight="1">
      <c r="A17" s="46">
        <v>2</v>
      </c>
      <c r="B17" s="125" t="s">
        <v>22</v>
      </c>
      <c r="C17" s="126"/>
      <c r="D17" s="47">
        <f>COUNTIF('Main Form'!$C$3:$C$92,Summary!B17)-COUNTIFS('Main Form'!$C$3:$C$92,Summary!B17,'Main Form'!$Q$3:$Q$92,"N/A")</f>
        <v>4</v>
      </c>
      <c r="E17" s="105">
        <f>COUNTIFS('Main Form'!$Q$3:$Q$92,B17)</f>
        <v>0</v>
      </c>
      <c r="F17" s="123">
        <f t="shared" si="0"/>
        <v>0</v>
      </c>
      <c r="G17" s="124"/>
    </row>
    <row r="18" spans="1:12" ht="26.65" customHeight="1">
      <c r="A18" s="46">
        <v>3</v>
      </c>
      <c r="B18" s="125" t="s">
        <v>23</v>
      </c>
      <c r="C18" s="126"/>
      <c r="D18" s="47">
        <f>COUNTIF('Main Form'!$C$3:$C$92,Summary!B18)-COUNTIFS('Main Form'!$C$3:$C$92,Summary!B18,'Main Form'!$Q$3:$Q$92,"N/A")</f>
        <v>5</v>
      </c>
      <c r="E18" s="105">
        <f>COUNTIFS('Main Form'!$Q$3:$Q$92,B18)</f>
        <v>0</v>
      </c>
      <c r="F18" s="123">
        <f t="shared" si="0"/>
        <v>0</v>
      </c>
      <c r="G18" s="124"/>
    </row>
    <row r="19" spans="1:12" ht="26.65" customHeight="1">
      <c r="A19" s="46">
        <v>4</v>
      </c>
      <c r="B19" s="125" t="s">
        <v>24</v>
      </c>
      <c r="C19" s="126"/>
      <c r="D19" s="47">
        <f>COUNTIF('Main Form'!$C$3:$C$92,Summary!B19)-COUNTIFS('Main Form'!$C$3:$C$92,Summary!B19,'Main Form'!$Q$3:$Q$92,"N/A")</f>
        <v>3</v>
      </c>
      <c r="E19" s="105">
        <f>COUNTIFS('Main Form'!$Q$3:$Q$92,B19)</f>
        <v>0</v>
      </c>
      <c r="F19" s="123">
        <f t="shared" si="0"/>
        <v>0</v>
      </c>
      <c r="G19" s="124"/>
    </row>
    <row r="20" spans="1:12" ht="26.65" customHeight="1">
      <c r="A20" s="46">
        <v>5</v>
      </c>
      <c r="B20" s="125" t="s">
        <v>25</v>
      </c>
      <c r="C20" s="126"/>
      <c r="D20" s="47">
        <f>COUNTIF('Main Form'!$C$3:$C$92,Summary!B20)-COUNTIFS('Main Form'!$C$3:$C$92,Summary!B20,'Main Form'!$Q$3:$Q$92,"N/A")</f>
        <v>5</v>
      </c>
      <c r="E20" s="105">
        <f>COUNTIFS('Main Form'!$Q$3:$Q$92,B20)</f>
        <v>0</v>
      </c>
      <c r="F20" s="123">
        <f t="shared" si="0"/>
        <v>0</v>
      </c>
      <c r="G20" s="124"/>
    </row>
    <row r="21" spans="1:12" ht="26.65" customHeight="1">
      <c r="A21" s="46">
        <v>6</v>
      </c>
      <c r="B21" s="125" t="s">
        <v>26</v>
      </c>
      <c r="C21" s="126"/>
      <c r="D21" s="47">
        <f>COUNTIF('Main Form'!$C$3:$C$92,Summary!B21)-COUNTIFS('Main Form'!$C$3:$C$92,Summary!B21,'Main Form'!$Q$3:$Q$92,"N/A")</f>
        <v>8</v>
      </c>
      <c r="E21" s="105">
        <f>COUNTIFS('Main Form'!$Q$3:$Q$92,B21)</f>
        <v>0</v>
      </c>
      <c r="F21" s="123">
        <f t="shared" si="0"/>
        <v>0</v>
      </c>
      <c r="G21" s="124"/>
    </row>
    <row r="22" spans="1:12" ht="26.65" customHeight="1">
      <c r="A22" s="46">
        <v>7</v>
      </c>
      <c r="B22" s="125" t="s">
        <v>27</v>
      </c>
      <c r="C22" s="126"/>
      <c r="D22" s="47">
        <f>COUNTIF('Main Form'!$C$3:$C$92,Summary!B22)-COUNTIFS('Main Form'!$C$3:$C$92,Summary!B22,'Main Form'!$Q$3:$Q$92,"N/A")</f>
        <v>3</v>
      </c>
      <c r="E22" s="105">
        <f>COUNTIFS('Main Form'!$Q$3:$Q$92,B22)</f>
        <v>0</v>
      </c>
      <c r="F22" s="123">
        <f t="shared" si="0"/>
        <v>0</v>
      </c>
      <c r="G22" s="124"/>
    </row>
    <row r="23" spans="1:12" ht="26.65" customHeight="1">
      <c r="A23" s="46">
        <v>8</v>
      </c>
      <c r="B23" s="125" t="s">
        <v>28</v>
      </c>
      <c r="C23" s="126"/>
      <c r="D23" s="47">
        <f>COUNTIF('Main Form'!$C$3:$C$92,Summary!B23)-COUNTIFS('Main Form'!$C$3:$C$92,Summary!B23,'Main Form'!$Q$3:$Q$92,"N/A")</f>
        <v>7</v>
      </c>
      <c r="E23" s="105">
        <f>COUNTIFS('Main Form'!$Q$3:$Q$92,B23)</f>
        <v>0</v>
      </c>
      <c r="F23" s="123">
        <f t="shared" si="0"/>
        <v>0</v>
      </c>
      <c r="G23" s="124"/>
    </row>
    <row r="24" spans="1:12" ht="26.65" customHeight="1">
      <c r="A24" s="46">
        <v>9</v>
      </c>
      <c r="B24" s="125" t="s">
        <v>29</v>
      </c>
      <c r="C24" s="126"/>
      <c r="D24" s="47">
        <f>COUNTIF('Main Form'!$C$3:$C$92,Summary!B24)-COUNTIFS('Main Form'!$C$3:$C$92,Summary!B24,'Main Form'!$Q$3:$Q$92,"N/A")</f>
        <v>5</v>
      </c>
      <c r="E24" s="105">
        <f>COUNTIFS('Main Form'!$Q$3:$Q$92,B24)</f>
        <v>0</v>
      </c>
      <c r="F24" s="123">
        <f t="shared" si="0"/>
        <v>0</v>
      </c>
      <c r="G24" s="124"/>
    </row>
    <row r="25" spans="1:12" ht="26.65" customHeight="1">
      <c r="A25" s="46">
        <v>10</v>
      </c>
      <c r="B25" s="125" t="s">
        <v>30</v>
      </c>
      <c r="C25" s="126"/>
      <c r="D25" s="47">
        <f>COUNTIF('Main Form'!$C$3:$C$92,Summary!B25)-COUNTIFS('Main Form'!$C$3:$C$92,Summary!B25,'Main Form'!$Q$3:$Q$92,"N/A")</f>
        <v>2</v>
      </c>
      <c r="E25" s="105">
        <f>COUNTIFS('Main Form'!$Q$3:$Q$92,B25)</f>
        <v>0</v>
      </c>
      <c r="F25" s="123">
        <f t="shared" si="0"/>
        <v>0</v>
      </c>
      <c r="G25" s="124"/>
    </row>
    <row r="26" spans="1:12" ht="26.65" customHeight="1">
      <c r="A26" s="46">
        <v>11</v>
      </c>
      <c r="B26" s="125" t="s">
        <v>31</v>
      </c>
      <c r="C26" s="126"/>
      <c r="D26" s="47">
        <f>COUNTIF('Main Form'!$C$3:$C$92,Summary!B26)-COUNTIFS('Main Form'!$C$3:$C$92,Summary!B26,'Main Form'!$Q$3:$Q$92,"N/A")</f>
        <v>4</v>
      </c>
      <c r="E26" s="105">
        <f>COUNTIFS('Main Form'!$Q$3:$Q$92,B26)</f>
        <v>0</v>
      </c>
      <c r="F26" s="123">
        <f t="shared" si="0"/>
        <v>0</v>
      </c>
      <c r="G26" s="124"/>
    </row>
    <row r="27" spans="1:12" ht="26.65" customHeight="1">
      <c r="A27" s="46">
        <v>12</v>
      </c>
      <c r="B27" s="125" t="s">
        <v>32</v>
      </c>
      <c r="C27" s="126"/>
      <c r="D27" s="47">
        <f>COUNTIF('Main Form'!$C$3:$C$92,Summary!B27)-COUNTIFS('Main Form'!$C$3:$C$92,Summary!B27,'Main Form'!$Q$3:$Q$92,"N/A")</f>
        <v>4</v>
      </c>
      <c r="E27" s="105">
        <f>COUNTIFS('Main Form'!$Q$3:$Q$92,B27)</f>
        <v>0</v>
      </c>
      <c r="F27" s="123">
        <f t="shared" si="0"/>
        <v>0</v>
      </c>
      <c r="G27" s="124"/>
    </row>
    <row r="28" spans="1:12" ht="26.65" customHeight="1">
      <c r="A28" s="46">
        <v>13</v>
      </c>
      <c r="B28" s="125" t="s">
        <v>33</v>
      </c>
      <c r="C28" s="126"/>
      <c r="D28" s="47">
        <f>COUNTIF('Main Form'!$C$3:$C$92,Summary!B28)-COUNTIFS('Main Form'!$C$3:$C$92,Summary!B28,'Main Form'!$Q$3:$Q$92,"N/A")</f>
        <v>5</v>
      </c>
      <c r="E28" s="105">
        <f>COUNTIFS('Main Form'!$Q$3:$Q$92,B28)</f>
        <v>0</v>
      </c>
      <c r="F28" s="123">
        <f t="shared" si="0"/>
        <v>0</v>
      </c>
      <c r="G28" s="124"/>
      <c r="L28" s="32" t="s">
        <v>34</v>
      </c>
    </row>
    <row r="29" spans="1:12" ht="26.65" customHeight="1">
      <c r="A29" s="46">
        <v>14</v>
      </c>
      <c r="B29" s="125" t="s">
        <v>35</v>
      </c>
      <c r="C29" s="126"/>
      <c r="D29" s="47">
        <f>COUNTIF('Main Form'!$C$3:$C$92,Summary!B29)-COUNTIFS('Main Form'!$C$3:$C$92,Summary!B29,'Main Form'!$Q$3:$Q$92,"N/A")</f>
        <v>3</v>
      </c>
      <c r="E29" s="105">
        <f>COUNTIFS('Main Form'!$Q$3:$Q$92,B29)</f>
        <v>0</v>
      </c>
      <c r="F29" s="123">
        <f t="shared" si="0"/>
        <v>0</v>
      </c>
      <c r="G29" s="124"/>
    </row>
    <row r="30" spans="1:12" ht="26.65" customHeight="1">
      <c r="A30" s="46">
        <v>15</v>
      </c>
      <c r="B30" s="125" t="s">
        <v>36</v>
      </c>
      <c r="C30" s="126"/>
      <c r="D30" s="47">
        <f>COUNTIF('Main Form'!$C$3:$C$92,Summary!B30)-COUNTIFS('Main Form'!$C$3:$C$92,Summary!B30,'Main Form'!$Q$3:$Q$92,"N/A")</f>
        <v>5</v>
      </c>
      <c r="E30" s="105">
        <f>COUNTIFS('Main Form'!$Q$3:$Q$92,B30)</f>
        <v>0</v>
      </c>
      <c r="F30" s="123">
        <f t="shared" si="0"/>
        <v>0</v>
      </c>
      <c r="G30" s="124"/>
    </row>
    <row r="31" spans="1:12" ht="26.65" customHeight="1">
      <c r="A31" s="146" t="s">
        <v>37</v>
      </c>
      <c r="B31" s="147"/>
      <c r="C31" s="147"/>
      <c r="D31" s="47">
        <f>SUM(D16:D30)</f>
        <v>75</v>
      </c>
      <c r="E31" s="48">
        <f>SUM(E16:E30)</f>
        <v>0</v>
      </c>
      <c r="F31" s="123">
        <f t="shared" si="0"/>
        <v>0</v>
      </c>
      <c r="G31" s="124"/>
    </row>
    <row r="32" spans="1:12" ht="15" customHeight="1">
      <c r="A32" s="49"/>
      <c r="B32" s="5"/>
      <c r="C32" s="5"/>
      <c r="D32" s="50"/>
      <c r="E32" s="5"/>
      <c r="F32" s="51"/>
      <c r="G32" s="52"/>
    </row>
    <row r="33" spans="1:7" ht="15" customHeight="1">
      <c r="A33" s="49"/>
      <c r="B33" s="5"/>
      <c r="C33" s="5"/>
      <c r="D33" s="5"/>
      <c r="E33" s="5"/>
      <c r="F33" s="51"/>
      <c r="G33" s="52"/>
    </row>
    <row r="34" spans="1:7" ht="15" customHeight="1">
      <c r="A34" s="49"/>
      <c r="B34" s="5"/>
      <c r="C34" s="5"/>
      <c r="D34" s="5"/>
      <c r="E34" s="5"/>
      <c r="F34" s="51"/>
      <c r="G34" s="52"/>
    </row>
    <row r="35" spans="1:7" ht="15" customHeight="1">
      <c r="A35" s="49"/>
      <c r="B35" s="5"/>
      <c r="C35" s="5"/>
      <c r="D35" s="5"/>
      <c r="E35" s="5"/>
      <c r="F35" s="51"/>
      <c r="G35" s="52"/>
    </row>
    <row r="36" spans="1:7" ht="15" customHeight="1">
      <c r="A36" s="49"/>
      <c r="B36" s="5"/>
      <c r="C36" s="5"/>
      <c r="D36" s="5"/>
      <c r="E36" s="5"/>
      <c r="F36" s="51"/>
      <c r="G36" s="52"/>
    </row>
    <row r="37" spans="1:7" ht="15" customHeight="1">
      <c r="A37" s="49"/>
      <c r="B37" s="5"/>
      <c r="C37" s="5"/>
      <c r="D37" s="5"/>
      <c r="E37" s="5"/>
      <c r="F37" s="51"/>
      <c r="G37" s="52"/>
    </row>
    <row r="38" spans="1:7" ht="15" customHeight="1">
      <c r="A38" s="49"/>
      <c r="B38" s="5"/>
      <c r="C38" s="5"/>
      <c r="D38" s="5"/>
      <c r="E38" s="5"/>
      <c r="F38" s="51"/>
      <c r="G38" s="52"/>
    </row>
    <row r="39" spans="1:7" ht="15" customHeight="1">
      <c r="A39" s="49"/>
      <c r="B39" s="5"/>
      <c r="C39" s="5"/>
      <c r="D39" s="5"/>
      <c r="E39" s="5"/>
      <c r="F39" s="51"/>
      <c r="G39" s="52"/>
    </row>
    <row r="40" spans="1:7" ht="15" customHeight="1">
      <c r="A40" s="49"/>
      <c r="B40" s="5"/>
      <c r="C40" s="5"/>
      <c r="D40" s="5"/>
      <c r="E40" s="5"/>
      <c r="F40" s="51"/>
      <c r="G40" s="52"/>
    </row>
    <row r="41" spans="1:7" ht="15" customHeight="1">
      <c r="A41" s="49"/>
      <c r="B41" s="5"/>
      <c r="C41" s="5"/>
      <c r="D41" s="5"/>
      <c r="E41" s="5"/>
      <c r="F41" s="51"/>
      <c r="G41" s="52"/>
    </row>
    <row r="42" spans="1:7" ht="15" customHeight="1">
      <c r="A42" s="49"/>
      <c r="B42" s="5"/>
      <c r="C42" s="5"/>
      <c r="D42" s="5"/>
      <c r="E42" s="5"/>
      <c r="F42" s="51"/>
      <c r="G42" s="52"/>
    </row>
    <row r="43" spans="1:7" ht="15" customHeight="1">
      <c r="A43" s="49"/>
      <c r="B43" s="5"/>
      <c r="C43" s="5"/>
      <c r="D43" s="5"/>
      <c r="E43" s="5"/>
      <c r="F43" s="51"/>
      <c r="G43" s="52"/>
    </row>
    <row r="44" spans="1:7">
      <c r="A44" s="33"/>
      <c r="G44" s="34"/>
    </row>
    <row r="45" spans="1:7">
      <c r="A45" s="33"/>
      <c r="G45" s="34"/>
    </row>
    <row r="46" spans="1:7" ht="12.75">
      <c r="A46" s="53"/>
      <c r="B46" s="54"/>
      <c r="C46" s="54"/>
      <c r="D46" s="55"/>
      <c r="E46" s="54"/>
      <c r="F46" s="54"/>
      <c r="G46" s="34"/>
    </row>
    <row r="47" spans="1:7" ht="12.75">
      <c r="A47" s="39"/>
      <c r="B47" s="54"/>
      <c r="C47" s="54"/>
      <c r="D47" s="54"/>
      <c r="E47" s="54"/>
      <c r="F47" s="54"/>
      <c r="G47" s="34"/>
    </row>
    <row r="48" spans="1:7" ht="12.75">
      <c r="A48" s="148"/>
      <c r="B48" s="149"/>
      <c r="C48" s="54"/>
      <c r="D48" s="149"/>
      <c r="E48" s="149"/>
      <c r="F48" s="54"/>
      <c r="G48" s="34"/>
    </row>
    <row r="49" spans="1:7" ht="12.75">
      <c r="A49" s="148"/>
      <c r="B49" s="149"/>
      <c r="C49" s="54"/>
      <c r="D49" s="149"/>
      <c r="E49" s="149"/>
      <c r="F49" s="55"/>
      <c r="G49" s="34"/>
    </row>
    <row r="50" spans="1:7" ht="12.75">
      <c r="A50" s="39"/>
      <c r="B50" s="54"/>
      <c r="C50" s="54"/>
      <c r="D50" s="54"/>
      <c r="E50" s="54"/>
      <c r="F50" s="54"/>
      <c r="G50" s="34"/>
    </row>
    <row r="51" spans="1:7" ht="12.75">
      <c r="A51" s="148"/>
      <c r="B51" s="149"/>
      <c r="C51" s="54"/>
      <c r="D51" s="149"/>
      <c r="E51" s="149"/>
      <c r="F51" s="56"/>
      <c r="G51" s="34"/>
    </row>
    <row r="52" spans="1:7" ht="12.75">
      <c r="A52" s="148"/>
      <c r="B52" s="149"/>
      <c r="C52" s="54"/>
      <c r="D52" s="149"/>
      <c r="E52" s="149"/>
      <c r="F52" s="149"/>
      <c r="G52" s="150"/>
    </row>
    <row r="53" spans="1:7" ht="12.75" thickBot="1">
      <c r="A53" s="57"/>
      <c r="B53" s="58"/>
      <c r="C53" s="58"/>
      <c r="D53" s="58"/>
      <c r="E53" s="58"/>
      <c r="F53" s="58"/>
      <c r="G53" s="59"/>
    </row>
    <row r="54" spans="1:7" s="54" customFormat="1" ht="12.75">
      <c r="A54" s="151"/>
      <c r="B54" s="151"/>
      <c r="C54" s="151"/>
      <c r="D54" s="151"/>
      <c r="E54" s="151"/>
      <c r="F54" s="151"/>
      <c r="G54" s="151"/>
    </row>
    <row r="55" spans="1:7" ht="14.25">
      <c r="A55" s="60"/>
    </row>
    <row r="56" spans="1:7" ht="14.25">
      <c r="A56" s="60"/>
    </row>
  </sheetData>
  <mergeCells count="54">
    <mergeCell ref="F31:G31"/>
    <mergeCell ref="A31:C31"/>
    <mergeCell ref="A52:B52"/>
    <mergeCell ref="F52:G52"/>
    <mergeCell ref="A54:G54"/>
    <mergeCell ref="A48:B48"/>
    <mergeCell ref="A49:B49"/>
    <mergeCell ref="A51:B51"/>
    <mergeCell ref="D48:E48"/>
    <mergeCell ref="D49:E49"/>
    <mergeCell ref="D51:E51"/>
    <mergeCell ref="D52:E52"/>
    <mergeCell ref="A12:C12"/>
    <mergeCell ref="B22:C22"/>
    <mergeCell ref="B21:C21"/>
    <mergeCell ref="B20:C20"/>
    <mergeCell ref="B19:C19"/>
    <mergeCell ref="B16:C16"/>
    <mergeCell ref="B17:C17"/>
    <mergeCell ref="B18:C18"/>
    <mergeCell ref="A7:G7"/>
    <mergeCell ref="A1:G2"/>
    <mergeCell ref="C3:E3"/>
    <mergeCell ref="C5:E5"/>
    <mergeCell ref="F23:G23"/>
    <mergeCell ref="F22:G22"/>
    <mergeCell ref="F21:G21"/>
    <mergeCell ref="F20:G20"/>
    <mergeCell ref="F19:G19"/>
    <mergeCell ref="A14:G14"/>
    <mergeCell ref="B15:C15"/>
    <mergeCell ref="F15:G15"/>
    <mergeCell ref="B8:C8"/>
    <mergeCell ref="B9:C9"/>
    <mergeCell ref="B10:C10"/>
    <mergeCell ref="B11:C11"/>
    <mergeCell ref="B30:C30"/>
    <mergeCell ref="F30:G30"/>
    <mergeCell ref="B28:C28"/>
    <mergeCell ref="F28:G28"/>
    <mergeCell ref="B29:C29"/>
    <mergeCell ref="F29:G29"/>
    <mergeCell ref="F16:G16"/>
    <mergeCell ref="F17:G17"/>
    <mergeCell ref="F18:G18"/>
    <mergeCell ref="F26:G26"/>
    <mergeCell ref="B27:C27"/>
    <mergeCell ref="F27:G27"/>
    <mergeCell ref="B23:C23"/>
    <mergeCell ref="B24:C24"/>
    <mergeCell ref="F24:G24"/>
    <mergeCell ref="B25:C25"/>
    <mergeCell ref="F25:G25"/>
    <mergeCell ref="B26:C26"/>
  </mergeCells>
  <phoneticPr fontId="10" type="noConversion"/>
  <conditionalFormatting sqref="F16:F31">
    <cfRule type="cellIs" dxfId="10" priority="1" operator="lessThan">
      <formula>0.8</formula>
    </cfRule>
    <cfRule type="cellIs" dxfId="9" priority="2" operator="greaterThanOrEqual">
      <formula>0.8</formula>
    </cfRule>
  </conditionalFormatting>
  <conditionalFormatting sqref="G9:G12">
    <cfRule type="cellIs" dxfId="8" priority="13" operator="equal">
      <formula>"PASS"</formula>
    </cfRule>
    <cfRule type="cellIs" dxfId="7" priority="14" operator="equal">
      <formula>"FAIL"</formula>
    </cfRule>
  </conditionalFormatting>
  <pageMargins left="0.7" right="0.7" top="1.3149999999999999" bottom="0.75" header="0.3" footer="0.3"/>
  <pageSetup paperSize="9" scale="63"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 sheet'!$A$2:$A$68</xm:f>
          </x14:formula1>
          <xm:sqref>C5:E5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555D-F866-452B-99DC-F7AAD0F622B6}">
  <sheetPr>
    <tabColor rgb="FFFFFF00"/>
    <pageSetUpPr fitToPage="1"/>
  </sheetPr>
  <dimension ref="A1:R83"/>
  <sheetViews>
    <sheetView showGridLines="0" tabSelected="1" zoomScale="55" zoomScaleNormal="55" zoomScaleSheetLayoutView="70" zoomScalePageLayoutView="74" workbookViewId="0">
      <pane xSplit="5" ySplit="2" topLeftCell="F9" activePane="bottomRight" state="frozen"/>
      <selection pane="topRight" activeCell="F1" sqref="F1"/>
      <selection pane="bottomLeft" activeCell="A3" sqref="A3"/>
      <selection pane="bottomRight" activeCell="I13" sqref="I13"/>
    </sheetView>
  </sheetViews>
  <sheetFormatPr defaultColWidth="8.7109375" defaultRowHeight="20.25"/>
  <cols>
    <col min="1" max="1" width="8.7109375" style="61" customWidth="1"/>
    <col min="2" max="2" width="20.7109375" style="62" customWidth="1"/>
    <col min="3" max="3" width="34.140625" style="62" customWidth="1"/>
    <col min="4" max="4" width="21.140625" style="62" customWidth="1"/>
    <col min="5" max="5" width="53.42578125" style="62" customWidth="1"/>
    <col min="6" max="6" width="28.140625" style="119" customWidth="1"/>
    <col min="7" max="7" width="22.28515625" style="119" customWidth="1"/>
    <col min="8" max="8" width="20.7109375" style="117" bestFit="1" customWidth="1"/>
    <col min="9" max="9" width="36.42578125" style="119" customWidth="1"/>
    <col min="10" max="10" width="49.28515625" style="119" customWidth="1"/>
    <col min="11" max="11" width="22.7109375" style="119" customWidth="1"/>
    <col min="12" max="12" width="13.7109375" customWidth="1"/>
    <col min="13" max="14" width="22.7109375" style="65" customWidth="1"/>
    <col min="15" max="16" width="19.28515625" style="65" hidden="1" customWidth="1"/>
    <col min="17" max="17" width="19.28515625" style="61" hidden="1" customWidth="1"/>
    <col min="18" max="18" width="41.42578125" style="61" customWidth="1"/>
    <col min="19" max="16384" width="8.7109375" style="61"/>
  </cols>
  <sheetData>
    <row r="1" spans="1:16">
      <c r="E1" s="111"/>
      <c r="H1" s="65"/>
      <c r="L1" s="65"/>
      <c r="O1" s="61"/>
      <c r="P1" s="61"/>
    </row>
    <row r="2" spans="1:16" s="69" customFormat="1" ht="40.5">
      <c r="A2" s="67" t="s">
        <v>6</v>
      </c>
      <c r="B2" s="68" t="s">
        <v>7</v>
      </c>
      <c r="C2" s="68" t="s">
        <v>20</v>
      </c>
      <c r="D2" s="68" t="s">
        <v>38</v>
      </c>
      <c r="E2" s="68" t="s">
        <v>39</v>
      </c>
      <c r="F2" s="68" t="s">
        <v>382</v>
      </c>
      <c r="G2" s="68" t="s">
        <v>383</v>
      </c>
      <c r="H2" s="67" t="s">
        <v>40</v>
      </c>
      <c r="I2" s="68" t="s">
        <v>381</v>
      </c>
      <c r="J2" s="68" t="s">
        <v>384</v>
      </c>
      <c r="K2" s="68" t="s">
        <v>376</v>
      </c>
      <c r="L2" s="67" t="s">
        <v>41</v>
      </c>
      <c r="M2" s="67" t="s">
        <v>42</v>
      </c>
      <c r="N2" s="67" t="s">
        <v>43</v>
      </c>
      <c r="O2" s="67" t="s">
        <v>44</v>
      </c>
      <c r="P2" s="67" t="s">
        <v>45</v>
      </c>
    </row>
    <row r="3" spans="1:16" s="69" customFormat="1" ht="76.5" hidden="1" customHeight="1">
      <c r="A3" s="67">
        <v>1</v>
      </c>
      <c r="B3" s="68" t="s">
        <v>15</v>
      </c>
      <c r="C3" s="68" t="s">
        <v>23</v>
      </c>
      <c r="D3" s="68" t="s">
        <v>46</v>
      </c>
      <c r="E3" s="112" t="s">
        <v>377</v>
      </c>
      <c r="F3" s="68" t="s">
        <v>385</v>
      </c>
      <c r="G3" s="68" t="s">
        <v>375</v>
      </c>
      <c r="H3" s="67" t="s">
        <v>48</v>
      </c>
      <c r="I3" s="68" t="s">
        <v>386</v>
      </c>
      <c r="J3" s="68" t="s">
        <v>391</v>
      </c>
      <c r="K3" s="68" t="s">
        <v>380</v>
      </c>
      <c r="L3" s="67"/>
      <c r="M3" s="67"/>
      <c r="N3" s="104" t="str">
        <f t="shared" ref="N3:N34" si="0">IF(NOT(H3="N/A"),B3,"N/A")</f>
        <v>Standard</v>
      </c>
      <c r="O3" s="104" t="str">
        <f t="shared" ref="O3:O34" si="1">IF(H3="YES",B3,IF(H3="N/A","N/A","NO"))</f>
        <v>NO</v>
      </c>
      <c r="P3" s="104" t="str">
        <f t="shared" ref="P3:P34" si="2">IF(H3="YES",C3,IF(H3="N/A","N/A","NO"))</f>
        <v>NO</v>
      </c>
    </row>
    <row r="4" spans="1:16" s="69" customFormat="1" ht="55.9" hidden="1" customHeight="1">
      <c r="A4" s="67">
        <v>2</v>
      </c>
      <c r="B4" s="68" t="s">
        <v>15</v>
      </c>
      <c r="C4" s="68" t="s">
        <v>23</v>
      </c>
      <c r="D4" s="68" t="s">
        <v>49</v>
      </c>
      <c r="E4" s="112" t="s">
        <v>50</v>
      </c>
      <c r="F4" s="68" t="s">
        <v>385</v>
      </c>
      <c r="G4" s="68" t="s">
        <v>375</v>
      </c>
      <c r="H4" s="67" t="s">
        <v>48</v>
      </c>
      <c r="I4" s="68" t="s">
        <v>387</v>
      </c>
      <c r="J4" s="68" t="s">
        <v>391</v>
      </c>
      <c r="K4" s="68" t="s">
        <v>388</v>
      </c>
      <c r="L4" s="67"/>
      <c r="M4" s="67"/>
      <c r="N4" s="104" t="str">
        <f t="shared" si="0"/>
        <v>Standard</v>
      </c>
      <c r="O4" s="104" t="str">
        <f t="shared" si="1"/>
        <v>NO</v>
      </c>
      <c r="P4" s="104" t="str">
        <f t="shared" si="2"/>
        <v>NO</v>
      </c>
    </row>
    <row r="5" spans="1:16" s="69" customFormat="1" ht="127.9" hidden="1" customHeight="1">
      <c r="A5" s="67">
        <v>3</v>
      </c>
      <c r="B5" s="68" t="s">
        <v>15</v>
      </c>
      <c r="C5" s="68" t="s">
        <v>23</v>
      </c>
      <c r="D5" s="68" t="s">
        <v>49</v>
      </c>
      <c r="E5" s="112" t="s">
        <v>52</v>
      </c>
      <c r="F5" s="68" t="s">
        <v>385</v>
      </c>
      <c r="G5" s="68" t="s">
        <v>375</v>
      </c>
      <c r="H5" s="67" t="s">
        <v>48</v>
      </c>
      <c r="I5" s="68" t="s">
        <v>389</v>
      </c>
      <c r="J5" s="68" t="s">
        <v>391</v>
      </c>
      <c r="K5" s="68" t="s">
        <v>378</v>
      </c>
      <c r="L5" s="67"/>
      <c r="M5" s="67"/>
      <c r="N5" s="104" t="str">
        <f t="shared" si="0"/>
        <v>Standard</v>
      </c>
      <c r="O5" s="104" t="str">
        <f t="shared" si="1"/>
        <v>NO</v>
      </c>
      <c r="P5" s="104" t="str">
        <f t="shared" si="2"/>
        <v>NO</v>
      </c>
    </row>
    <row r="6" spans="1:16" s="69" customFormat="1" ht="61.15" hidden="1" customHeight="1">
      <c r="A6" s="67">
        <v>4</v>
      </c>
      <c r="B6" s="68" t="s">
        <v>15</v>
      </c>
      <c r="C6" s="68" t="s">
        <v>24</v>
      </c>
      <c r="D6" s="68" t="s">
        <v>54</v>
      </c>
      <c r="E6" s="112" t="s">
        <v>379</v>
      </c>
      <c r="F6" s="68" t="s">
        <v>385</v>
      </c>
      <c r="G6" s="68" t="s">
        <v>375</v>
      </c>
      <c r="H6" s="67" t="s">
        <v>48</v>
      </c>
      <c r="I6" s="68" t="s">
        <v>390</v>
      </c>
      <c r="J6" s="68" t="s">
        <v>391</v>
      </c>
      <c r="K6" s="68" t="s">
        <v>380</v>
      </c>
      <c r="L6" s="67"/>
      <c r="M6" s="67"/>
      <c r="N6" s="104" t="str">
        <f t="shared" si="0"/>
        <v>Standard</v>
      </c>
      <c r="O6" s="104" t="str">
        <f t="shared" si="1"/>
        <v>NO</v>
      </c>
      <c r="P6" s="104" t="str">
        <f t="shared" si="2"/>
        <v>NO</v>
      </c>
    </row>
    <row r="7" spans="1:16" s="69" customFormat="1" ht="60.75" hidden="1">
      <c r="A7" s="67">
        <v>5</v>
      </c>
      <c r="B7" s="68" t="s">
        <v>15</v>
      </c>
      <c r="C7" s="68" t="s">
        <v>24</v>
      </c>
      <c r="D7" s="68" t="s">
        <v>56</v>
      </c>
      <c r="E7" s="112" t="s">
        <v>57</v>
      </c>
      <c r="F7" s="68" t="s">
        <v>385</v>
      </c>
      <c r="G7" s="68" t="s">
        <v>375</v>
      </c>
      <c r="H7" s="67" t="s">
        <v>48</v>
      </c>
      <c r="I7" s="68"/>
      <c r="J7" s="68" t="s">
        <v>391</v>
      </c>
      <c r="K7" s="68" t="s">
        <v>380</v>
      </c>
      <c r="L7" s="67"/>
      <c r="M7" s="67"/>
      <c r="N7" s="104" t="str">
        <f t="shared" si="0"/>
        <v>Standard</v>
      </c>
      <c r="O7" s="104" t="str">
        <f t="shared" si="1"/>
        <v>NO</v>
      </c>
      <c r="P7" s="104" t="str">
        <f t="shared" si="2"/>
        <v>NO</v>
      </c>
    </row>
    <row r="8" spans="1:16" s="69" customFormat="1" ht="81" hidden="1">
      <c r="A8" s="67">
        <v>6</v>
      </c>
      <c r="B8" s="68" t="s">
        <v>15</v>
      </c>
      <c r="C8" s="68" t="s">
        <v>24</v>
      </c>
      <c r="D8" s="68" t="s">
        <v>58</v>
      </c>
      <c r="E8" s="112" t="s">
        <v>59</v>
      </c>
      <c r="F8" s="68" t="s">
        <v>385</v>
      </c>
      <c r="G8" s="68" t="s">
        <v>375</v>
      </c>
      <c r="H8" s="67" t="s">
        <v>48</v>
      </c>
      <c r="I8" s="68"/>
      <c r="J8" s="68" t="s">
        <v>391</v>
      </c>
      <c r="K8" s="68" t="s">
        <v>378</v>
      </c>
      <c r="L8" s="67"/>
      <c r="M8" s="67"/>
      <c r="N8" s="104" t="str">
        <f t="shared" si="0"/>
        <v>Standard</v>
      </c>
      <c r="O8" s="104" t="str">
        <f t="shared" si="1"/>
        <v>NO</v>
      </c>
      <c r="P8" s="104" t="str">
        <f t="shared" si="2"/>
        <v>NO</v>
      </c>
    </row>
    <row r="9" spans="1:16" s="69" customFormat="1" ht="60.75" hidden="1">
      <c r="A9" s="67">
        <v>7</v>
      </c>
      <c r="B9" s="68" t="s">
        <v>15</v>
      </c>
      <c r="C9" s="68" t="s">
        <v>25</v>
      </c>
      <c r="D9" s="68" t="s">
        <v>60</v>
      </c>
      <c r="E9" s="112" t="s">
        <v>61</v>
      </c>
      <c r="F9" s="68" t="s">
        <v>385</v>
      </c>
      <c r="G9" s="68" t="s">
        <v>375</v>
      </c>
      <c r="H9" s="67" t="s">
        <v>48</v>
      </c>
      <c r="I9" s="68"/>
      <c r="J9" s="68" t="s">
        <v>391</v>
      </c>
      <c r="K9" s="68" t="s">
        <v>380</v>
      </c>
      <c r="L9" s="67"/>
      <c r="M9" s="67"/>
      <c r="N9" s="104" t="str">
        <f t="shared" si="0"/>
        <v>Standard</v>
      </c>
      <c r="O9" s="104" t="str">
        <f t="shared" si="1"/>
        <v>NO</v>
      </c>
      <c r="P9" s="104" t="str">
        <f t="shared" si="2"/>
        <v>NO</v>
      </c>
    </row>
    <row r="10" spans="1:16" s="69" customFormat="1" ht="60.75" hidden="1">
      <c r="A10" s="67">
        <v>8</v>
      </c>
      <c r="B10" s="68" t="s">
        <v>13</v>
      </c>
      <c r="C10" s="68" t="s">
        <v>25</v>
      </c>
      <c r="D10" s="68" t="s">
        <v>62</v>
      </c>
      <c r="E10" s="112" t="s">
        <v>63</v>
      </c>
      <c r="F10" s="68" t="s">
        <v>385</v>
      </c>
      <c r="G10" s="68" t="s">
        <v>375</v>
      </c>
      <c r="H10" s="67" t="s">
        <v>48</v>
      </c>
      <c r="I10" s="68"/>
      <c r="J10" s="68" t="s">
        <v>391</v>
      </c>
      <c r="K10" s="68" t="s">
        <v>380</v>
      </c>
      <c r="L10" s="67"/>
      <c r="M10" s="67"/>
      <c r="N10" s="104" t="str">
        <f t="shared" si="0"/>
        <v>Basic</v>
      </c>
      <c r="O10" s="104" t="str">
        <f t="shared" si="1"/>
        <v>NO</v>
      </c>
      <c r="P10" s="104" t="str">
        <f t="shared" si="2"/>
        <v>NO</v>
      </c>
    </row>
    <row r="11" spans="1:16" s="69" customFormat="1" ht="40.5" hidden="1">
      <c r="A11" s="67">
        <v>9</v>
      </c>
      <c r="B11" s="68" t="s">
        <v>15</v>
      </c>
      <c r="C11" s="68" t="s">
        <v>25</v>
      </c>
      <c r="D11" s="68" t="s">
        <v>64</v>
      </c>
      <c r="E11" s="112" t="s">
        <v>65</v>
      </c>
      <c r="F11" s="68" t="s">
        <v>385</v>
      </c>
      <c r="G11" s="68" t="s">
        <v>375</v>
      </c>
      <c r="H11" s="67" t="s">
        <v>48</v>
      </c>
      <c r="I11" s="68"/>
      <c r="J11" s="68" t="s">
        <v>391</v>
      </c>
      <c r="K11" s="68" t="s">
        <v>380</v>
      </c>
      <c r="L11" s="67"/>
      <c r="M11" s="67"/>
      <c r="N11" s="104" t="str">
        <f t="shared" si="0"/>
        <v>Standard</v>
      </c>
      <c r="O11" s="104" t="str">
        <f t="shared" si="1"/>
        <v>NO</v>
      </c>
      <c r="P11" s="104" t="str">
        <f t="shared" si="2"/>
        <v>NO</v>
      </c>
    </row>
    <row r="12" spans="1:16" s="69" customFormat="1" ht="60.75" hidden="1">
      <c r="A12" s="67">
        <v>10</v>
      </c>
      <c r="B12" s="68" t="s">
        <v>13</v>
      </c>
      <c r="C12" s="68" t="s">
        <v>22</v>
      </c>
      <c r="D12" s="68" t="s">
        <v>66</v>
      </c>
      <c r="E12" s="112" t="s">
        <v>67</v>
      </c>
      <c r="F12" s="68" t="s">
        <v>385</v>
      </c>
      <c r="G12" s="68" t="s">
        <v>375</v>
      </c>
      <c r="H12" s="67" t="s">
        <v>48</v>
      </c>
      <c r="I12" s="68"/>
      <c r="J12" s="68" t="s">
        <v>391</v>
      </c>
      <c r="K12" s="68" t="s">
        <v>378</v>
      </c>
      <c r="L12" s="67"/>
      <c r="M12" s="67"/>
      <c r="N12" s="104" t="str">
        <f t="shared" si="0"/>
        <v>Basic</v>
      </c>
      <c r="O12" s="104" t="str">
        <f t="shared" si="1"/>
        <v>NO</v>
      </c>
      <c r="P12" s="104" t="str">
        <f t="shared" si="2"/>
        <v>NO</v>
      </c>
    </row>
    <row r="13" spans="1:16" s="69" customFormat="1" ht="243" hidden="1">
      <c r="A13" s="67">
        <v>11</v>
      </c>
      <c r="B13" s="68" t="s">
        <v>15</v>
      </c>
      <c r="C13" s="68" t="s">
        <v>25</v>
      </c>
      <c r="D13" s="68" t="s">
        <v>68</v>
      </c>
      <c r="E13" s="112" t="s">
        <v>69</v>
      </c>
      <c r="F13" s="68" t="s">
        <v>385</v>
      </c>
      <c r="G13" s="68" t="s">
        <v>375</v>
      </c>
      <c r="H13" s="67" t="s">
        <v>48</v>
      </c>
      <c r="I13" s="68"/>
      <c r="J13" s="68" t="s">
        <v>391</v>
      </c>
      <c r="K13" s="68" t="s">
        <v>380</v>
      </c>
      <c r="L13" s="67"/>
      <c r="M13" s="67"/>
      <c r="N13" s="104" t="str">
        <f t="shared" si="0"/>
        <v>Standard</v>
      </c>
      <c r="O13" s="104" t="str">
        <f t="shared" si="1"/>
        <v>NO</v>
      </c>
      <c r="P13" s="104" t="str">
        <f t="shared" si="2"/>
        <v>NO</v>
      </c>
    </row>
    <row r="14" spans="1:16" ht="162" hidden="1">
      <c r="A14" s="67">
        <v>12</v>
      </c>
      <c r="B14" s="68" t="s">
        <v>13</v>
      </c>
      <c r="C14" s="68" t="s">
        <v>25</v>
      </c>
      <c r="D14" s="68" t="s">
        <v>70</v>
      </c>
      <c r="E14" s="113" t="s">
        <v>71</v>
      </c>
      <c r="F14" s="68" t="s">
        <v>385</v>
      </c>
      <c r="G14" s="68" t="s">
        <v>375</v>
      </c>
      <c r="H14" s="67" t="s">
        <v>48</v>
      </c>
      <c r="I14" s="68"/>
      <c r="J14" s="68" t="s">
        <v>391</v>
      </c>
      <c r="K14" s="68" t="s">
        <v>380</v>
      </c>
      <c r="L14" s="67"/>
      <c r="M14" s="67"/>
      <c r="N14" s="104" t="str">
        <f t="shared" si="0"/>
        <v>Basic</v>
      </c>
      <c r="O14" s="104" t="str">
        <f t="shared" si="1"/>
        <v>NO</v>
      </c>
      <c r="P14" s="104" t="str">
        <f t="shared" si="2"/>
        <v>NO</v>
      </c>
    </row>
    <row r="15" spans="1:16" s="69" customFormat="1" ht="81" hidden="1">
      <c r="A15" s="67">
        <v>13</v>
      </c>
      <c r="B15" s="68" t="s">
        <v>15</v>
      </c>
      <c r="C15" s="68" t="s">
        <v>21</v>
      </c>
      <c r="D15" s="68" t="s">
        <v>72</v>
      </c>
      <c r="E15" s="112" t="s">
        <v>73</v>
      </c>
      <c r="F15" s="68" t="s">
        <v>385</v>
      </c>
      <c r="G15" s="68" t="s">
        <v>375</v>
      </c>
      <c r="H15" s="67" t="s">
        <v>48</v>
      </c>
      <c r="I15" s="68"/>
      <c r="J15" s="68" t="s">
        <v>391</v>
      </c>
      <c r="K15" s="68" t="s">
        <v>380</v>
      </c>
      <c r="L15" s="67"/>
      <c r="M15" s="67"/>
      <c r="N15" s="104" t="str">
        <f t="shared" si="0"/>
        <v>Standard</v>
      </c>
      <c r="O15" s="104" t="str">
        <f t="shared" si="1"/>
        <v>NO</v>
      </c>
      <c r="P15" s="104" t="str">
        <f t="shared" si="2"/>
        <v>NO</v>
      </c>
    </row>
    <row r="16" spans="1:16" s="69" customFormat="1" ht="81" hidden="1">
      <c r="A16" s="67">
        <v>14</v>
      </c>
      <c r="B16" s="68" t="s">
        <v>15</v>
      </c>
      <c r="C16" s="68" t="s">
        <v>23</v>
      </c>
      <c r="D16" s="68" t="s">
        <v>74</v>
      </c>
      <c r="E16" s="112" t="s">
        <v>75</v>
      </c>
      <c r="F16" s="68" t="s">
        <v>385</v>
      </c>
      <c r="G16" s="68" t="s">
        <v>375</v>
      </c>
      <c r="H16" s="67" t="s">
        <v>48</v>
      </c>
      <c r="I16" s="68"/>
      <c r="J16" s="68" t="s">
        <v>391</v>
      </c>
      <c r="K16" s="68" t="s">
        <v>380</v>
      </c>
      <c r="L16" s="67"/>
      <c r="M16" s="67"/>
      <c r="N16" s="104" t="str">
        <f t="shared" si="0"/>
        <v>Standard</v>
      </c>
      <c r="O16" s="104" t="str">
        <f t="shared" si="1"/>
        <v>NO</v>
      </c>
      <c r="P16" s="104" t="str">
        <f t="shared" si="2"/>
        <v>NO</v>
      </c>
    </row>
    <row r="17" spans="1:16" s="69" customFormat="1" ht="40.5" hidden="1">
      <c r="A17" s="67">
        <v>15</v>
      </c>
      <c r="B17" s="68" t="s">
        <v>13</v>
      </c>
      <c r="C17" s="68" t="s">
        <v>26</v>
      </c>
      <c r="D17" s="68" t="s">
        <v>76</v>
      </c>
      <c r="E17" s="112" t="s">
        <v>77</v>
      </c>
      <c r="F17" s="68" t="s">
        <v>385</v>
      </c>
      <c r="G17" s="68" t="s">
        <v>375</v>
      </c>
      <c r="H17" s="67" t="s">
        <v>48</v>
      </c>
      <c r="I17" s="68"/>
      <c r="J17" s="68" t="s">
        <v>391</v>
      </c>
      <c r="K17" s="68" t="s">
        <v>378</v>
      </c>
      <c r="L17" s="67"/>
      <c r="M17" s="67"/>
      <c r="N17" s="104" t="str">
        <f t="shared" si="0"/>
        <v>Basic</v>
      </c>
      <c r="O17" s="104" t="str">
        <f t="shared" si="1"/>
        <v>NO</v>
      </c>
      <c r="P17" s="104" t="str">
        <f t="shared" si="2"/>
        <v>NO</v>
      </c>
    </row>
    <row r="18" spans="1:16" s="69" customFormat="1" ht="81" hidden="1">
      <c r="A18" s="67">
        <v>16</v>
      </c>
      <c r="B18" s="68" t="s">
        <v>15</v>
      </c>
      <c r="C18" s="68" t="s">
        <v>26</v>
      </c>
      <c r="D18" s="68" t="s">
        <v>78</v>
      </c>
      <c r="E18" s="112" t="s">
        <v>79</v>
      </c>
      <c r="F18" s="68" t="s">
        <v>385</v>
      </c>
      <c r="G18" s="68" t="s">
        <v>375</v>
      </c>
      <c r="H18" s="67" t="s">
        <v>48</v>
      </c>
      <c r="I18" s="68"/>
      <c r="J18" s="68" t="s">
        <v>391</v>
      </c>
      <c r="K18" s="68" t="s">
        <v>378</v>
      </c>
      <c r="L18" s="67"/>
      <c r="M18" s="67"/>
      <c r="N18" s="104" t="str">
        <f t="shared" si="0"/>
        <v>Standard</v>
      </c>
      <c r="O18" s="104" t="str">
        <f t="shared" si="1"/>
        <v>NO</v>
      </c>
      <c r="P18" s="104" t="str">
        <f t="shared" si="2"/>
        <v>NO</v>
      </c>
    </row>
    <row r="19" spans="1:16" ht="81" hidden="1">
      <c r="A19" s="67">
        <v>17</v>
      </c>
      <c r="B19" s="68" t="s">
        <v>15</v>
      </c>
      <c r="C19" s="68" t="s">
        <v>22</v>
      </c>
      <c r="D19" s="68" t="s">
        <v>80</v>
      </c>
      <c r="E19" s="113" t="s">
        <v>81</v>
      </c>
      <c r="F19" s="68" t="s">
        <v>385</v>
      </c>
      <c r="G19" s="68" t="s">
        <v>375</v>
      </c>
      <c r="H19" s="67" t="s">
        <v>48</v>
      </c>
      <c r="I19" s="68"/>
      <c r="J19" s="68" t="s">
        <v>391</v>
      </c>
      <c r="K19" s="68" t="s">
        <v>380</v>
      </c>
      <c r="L19" s="67"/>
      <c r="M19" s="67"/>
      <c r="N19" s="104" t="str">
        <f t="shared" si="0"/>
        <v>Standard</v>
      </c>
      <c r="O19" s="104" t="str">
        <f t="shared" si="1"/>
        <v>NO</v>
      </c>
      <c r="P19" s="104" t="str">
        <f t="shared" si="2"/>
        <v>NO</v>
      </c>
    </row>
    <row r="20" spans="1:16" s="69" customFormat="1" ht="60.75" hidden="1">
      <c r="A20" s="67">
        <v>18</v>
      </c>
      <c r="B20" s="68" t="s">
        <v>15</v>
      </c>
      <c r="C20" s="68" t="s">
        <v>26</v>
      </c>
      <c r="D20" s="68" t="s">
        <v>82</v>
      </c>
      <c r="E20" s="112" t="s">
        <v>83</v>
      </c>
      <c r="F20" s="68" t="s">
        <v>385</v>
      </c>
      <c r="G20" s="68" t="s">
        <v>375</v>
      </c>
      <c r="H20" s="67" t="s">
        <v>48</v>
      </c>
      <c r="I20" s="68"/>
      <c r="J20" s="68" t="s">
        <v>391</v>
      </c>
      <c r="K20" s="68" t="s">
        <v>380</v>
      </c>
      <c r="L20" s="67"/>
      <c r="M20" s="67"/>
      <c r="N20" s="104" t="str">
        <f t="shared" si="0"/>
        <v>Standard</v>
      </c>
      <c r="O20" s="104" t="str">
        <f t="shared" si="1"/>
        <v>NO</v>
      </c>
      <c r="P20" s="104" t="str">
        <f t="shared" si="2"/>
        <v>NO</v>
      </c>
    </row>
    <row r="21" spans="1:16" s="69" customFormat="1" ht="182.25" hidden="1">
      <c r="A21" s="67">
        <v>19</v>
      </c>
      <c r="B21" s="68" t="s">
        <v>15</v>
      </c>
      <c r="C21" s="68" t="s">
        <v>26</v>
      </c>
      <c r="D21" s="68" t="s">
        <v>84</v>
      </c>
      <c r="E21" s="112" t="s">
        <v>85</v>
      </c>
      <c r="F21" s="68" t="s">
        <v>385</v>
      </c>
      <c r="G21" s="68" t="s">
        <v>375</v>
      </c>
      <c r="H21" s="67" t="s">
        <v>48</v>
      </c>
      <c r="I21" s="68"/>
      <c r="J21" s="68" t="s">
        <v>391</v>
      </c>
      <c r="K21" s="68" t="s">
        <v>380</v>
      </c>
      <c r="L21" s="67"/>
      <c r="M21" s="67"/>
      <c r="N21" s="104" t="str">
        <f t="shared" si="0"/>
        <v>Standard</v>
      </c>
      <c r="O21" s="104" t="str">
        <f t="shared" si="1"/>
        <v>NO</v>
      </c>
      <c r="P21" s="104" t="str">
        <f t="shared" si="2"/>
        <v>NO</v>
      </c>
    </row>
    <row r="22" spans="1:16" s="69" customFormat="1" ht="60.75" hidden="1">
      <c r="A22" s="67">
        <v>20</v>
      </c>
      <c r="B22" s="68" t="s">
        <v>15</v>
      </c>
      <c r="C22" s="68" t="s">
        <v>26</v>
      </c>
      <c r="D22" s="68" t="s">
        <v>86</v>
      </c>
      <c r="E22" s="112" t="s">
        <v>87</v>
      </c>
      <c r="F22" s="68" t="s">
        <v>385</v>
      </c>
      <c r="G22" s="68" t="s">
        <v>375</v>
      </c>
      <c r="H22" s="67" t="s">
        <v>48</v>
      </c>
      <c r="I22" s="68"/>
      <c r="J22" s="68" t="s">
        <v>391</v>
      </c>
      <c r="K22" s="68" t="s">
        <v>380</v>
      </c>
      <c r="L22" s="67"/>
      <c r="M22" s="67"/>
      <c r="N22" s="104" t="str">
        <f t="shared" si="0"/>
        <v>Standard</v>
      </c>
      <c r="O22" s="104" t="str">
        <f t="shared" si="1"/>
        <v>NO</v>
      </c>
      <c r="P22" s="104" t="str">
        <f t="shared" si="2"/>
        <v>NO</v>
      </c>
    </row>
    <row r="23" spans="1:16" s="69" customFormat="1" ht="40.5" hidden="1">
      <c r="A23" s="67">
        <v>21</v>
      </c>
      <c r="B23" s="68" t="s">
        <v>17</v>
      </c>
      <c r="C23" s="68" t="s">
        <v>26</v>
      </c>
      <c r="D23" s="68" t="s">
        <v>88</v>
      </c>
      <c r="E23" s="112" t="s">
        <v>89</v>
      </c>
      <c r="F23" s="68" t="s">
        <v>385</v>
      </c>
      <c r="G23" s="68" t="s">
        <v>375</v>
      </c>
      <c r="H23" s="67" t="s">
        <v>48</v>
      </c>
      <c r="I23" s="68"/>
      <c r="J23" s="68" t="s">
        <v>391</v>
      </c>
      <c r="K23" s="68" t="s">
        <v>380</v>
      </c>
      <c r="L23" s="67"/>
      <c r="M23" s="67"/>
      <c r="N23" s="104" t="str">
        <f t="shared" si="0"/>
        <v>Beyond</v>
      </c>
      <c r="O23" s="104" t="str">
        <f t="shared" si="1"/>
        <v>NO</v>
      </c>
      <c r="P23" s="104" t="str">
        <f t="shared" si="2"/>
        <v>NO</v>
      </c>
    </row>
    <row r="24" spans="1:16" ht="60.75" hidden="1">
      <c r="A24" s="67">
        <v>22</v>
      </c>
      <c r="B24" s="68" t="s">
        <v>13</v>
      </c>
      <c r="C24" s="68" t="s">
        <v>26</v>
      </c>
      <c r="D24" s="68" t="s">
        <v>90</v>
      </c>
      <c r="E24" s="113" t="s">
        <v>91</v>
      </c>
      <c r="F24" s="68" t="s">
        <v>385</v>
      </c>
      <c r="G24" s="68" t="s">
        <v>375</v>
      </c>
      <c r="H24" s="67" t="s">
        <v>48</v>
      </c>
      <c r="I24" s="68"/>
      <c r="J24" s="68" t="s">
        <v>391</v>
      </c>
      <c r="K24" s="68" t="s">
        <v>380</v>
      </c>
      <c r="L24" s="67"/>
      <c r="M24" s="67"/>
      <c r="N24" s="104" t="str">
        <f t="shared" si="0"/>
        <v>Basic</v>
      </c>
      <c r="O24" s="104" t="str">
        <f t="shared" si="1"/>
        <v>NO</v>
      </c>
      <c r="P24" s="104" t="str">
        <f t="shared" si="2"/>
        <v>NO</v>
      </c>
    </row>
    <row r="25" spans="1:16" ht="60.75" hidden="1">
      <c r="A25" s="67">
        <v>23</v>
      </c>
      <c r="B25" s="68" t="s">
        <v>13</v>
      </c>
      <c r="C25" s="68" t="s">
        <v>26</v>
      </c>
      <c r="D25" s="68" t="s">
        <v>92</v>
      </c>
      <c r="E25" s="113" t="s">
        <v>93</v>
      </c>
      <c r="F25" s="68" t="s">
        <v>385</v>
      </c>
      <c r="G25" s="68" t="s">
        <v>375</v>
      </c>
      <c r="H25" s="67" t="s">
        <v>48</v>
      </c>
      <c r="I25" s="68"/>
      <c r="J25" s="68" t="s">
        <v>391</v>
      </c>
      <c r="K25" s="68" t="s">
        <v>380</v>
      </c>
      <c r="L25" s="67"/>
      <c r="M25" s="67"/>
      <c r="N25" s="104" t="str">
        <f t="shared" si="0"/>
        <v>Basic</v>
      </c>
      <c r="O25" s="104" t="str">
        <f t="shared" si="1"/>
        <v>NO</v>
      </c>
      <c r="P25" s="104" t="str">
        <f t="shared" si="2"/>
        <v>NO</v>
      </c>
    </row>
    <row r="26" spans="1:16" s="69" customFormat="1" ht="101.25" hidden="1">
      <c r="A26" s="67">
        <v>24</v>
      </c>
      <c r="B26" s="68" t="s">
        <v>15</v>
      </c>
      <c r="C26" s="68" t="s">
        <v>27</v>
      </c>
      <c r="D26" s="68" t="s">
        <v>94</v>
      </c>
      <c r="E26" s="112" t="s">
        <v>95</v>
      </c>
      <c r="F26" s="68" t="s">
        <v>385</v>
      </c>
      <c r="G26" s="68" t="s">
        <v>375</v>
      </c>
      <c r="H26" s="67" t="s">
        <v>48</v>
      </c>
      <c r="I26" s="68"/>
      <c r="J26" s="68" t="s">
        <v>391</v>
      </c>
      <c r="K26" s="68" t="s">
        <v>380</v>
      </c>
      <c r="L26" s="67"/>
      <c r="M26" s="67"/>
      <c r="N26" s="104" t="str">
        <f t="shared" si="0"/>
        <v>Standard</v>
      </c>
      <c r="O26" s="104" t="str">
        <f t="shared" si="1"/>
        <v>NO</v>
      </c>
      <c r="P26" s="104" t="str">
        <f t="shared" si="2"/>
        <v>NO</v>
      </c>
    </row>
    <row r="27" spans="1:16" s="69" customFormat="1" ht="60.75" hidden="1">
      <c r="A27" s="67">
        <v>25</v>
      </c>
      <c r="B27" s="68" t="s">
        <v>15</v>
      </c>
      <c r="C27" s="68" t="s">
        <v>27</v>
      </c>
      <c r="D27" s="68" t="s">
        <v>96</v>
      </c>
      <c r="E27" s="112" t="s">
        <v>97</v>
      </c>
      <c r="F27" s="68" t="s">
        <v>385</v>
      </c>
      <c r="G27" s="68" t="s">
        <v>375</v>
      </c>
      <c r="H27" s="67" t="s">
        <v>48</v>
      </c>
      <c r="I27" s="68"/>
      <c r="J27" s="68" t="s">
        <v>391</v>
      </c>
      <c r="K27" s="68" t="s">
        <v>380</v>
      </c>
      <c r="L27" s="67"/>
      <c r="M27" s="67"/>
      <c r="N27" s="104" t="str">
        <f t="shared" si="0"/>
        <v>Standard</v>
      </c>
      <c r="O27" s="104" t="str">
        <f t="shared" si="1"/>
        <v>NO</v>
      </c>
      <c r="P27" s="104" t="str">
        <f t="shared" si="2"/>
        <v>NO</v>
      </c>
    </row>
    <row r="28" spans="1:16" s="69" customFormat="1" ht="81" hidden="1">
      <c r="A28" s="67">
        <v>26</v>
      </c>
      <c r="B28" s="68" t="s">
        <v>15</v>
      </c>
      <c r="C28" s="68" t="s">
        <v>27</v>
      </c>
      <c r="D28" s="68" t="s">
        <v>98</v>
      </c>
      <c r="E28" s="112" t="s">
        <v>99</v>
      </c>
      <c r="F28" s="68" t="s">
        <v>385</v>
      </c>
      <c r="G28" s="68" t="s">
        <v>375</v>
      </c>
      <c r="H28" s="67" t="s">
        <v>48</v>
      </c>
      <c r="I28" s="68"/>
      <c r="J28" s="68" t="s">
        <v>391</v>
      </c>
      <c r="K28" s="68" t="s">
        <v>380</v>
      </c>
      <c r="L28" s="67"/>
      <c r="M28" s="67"/>
      <c r="N28" s="104" t="str">
        <f t="shared" si="0"/>
        <v>Standard</v>
      </c>
      <c r="O28" s="104" t="str">
        <f t="shared" si="1"/>
        <v>NO</v>
      </c>
      <c r="P28" s="104" t="str">
        <f t="shared" si="2"/>
        <v>NO</v>
      </c>
    </row>
    <row r="29" spans="1:16" ht="40.5" hidden="1">
      <c r="A29" s="67">
        <v>27</v>
      </c>
      <c r="B29" s="68" t="s">
        <v>13</v>
      </c>
      <c r="C29" s="68" t="s">
        <v>28</v>
      </c>
      <c r="D29" s="68" t="s">
        <v>100</v>
      </c>
      <c r="E29" s="113" t="s">
        <v>101</v>
      </c>
      <c r="F29" s="68" t="s">
        <v>385</v>
      </c>
      <c r="G29" s="68" t="s">
        <v>375</v>
      </c>
      <c r="H29" s="67" t="s">
        <v>48</v>
      </c>
      <c r="I29" s="68"/>
      <c r="J29" s="68" t="s">
        <v>391</v>
      </c>
      <c r="K29" s="68" t="s">
        <v>380</v>
      </c>
      <c r="L29" s="67"/>
      <c r="M29" s="67"/>
      <c r="N29" s="104" t="str">
        <f t="shared" si="0"/>
        <v>Basic</v>
      </c>
      <c r="O29" s="104" t="str">
        <f t="shared" si="1"/>
        <v>NO</v>
      </c>
      <c r="P29" s="104" t="str">
        <f t="shared" si="2"/>
        <v>NO</v>
      </c>
    </row>
    <row r="30" spans="1:16" s="69" customFormat="1" ht="243" hidden="1">
      <c r="A30" s="67">
        <v>28</v>
      </c>
      <c r="B30" s="68" t="s">
        <v>15</v>
      </c>
      <c r="C30" s="68" t="s">
        <v>28</v>
      </c>
      <c r="D30" s="68" t="s">
        <v>102</v>
      </c>
      <c r="E30" s="112" t="s">
        <v>103</v>
      </c>
      <c r="F30" s="68" t="s">
        <v>375</v>
      </c>
      <c r="G30" s="68" t="s">
        <v>392</v>
      </c>
      <c r="H30" s="67" t="s">
        <v>48</v>
      </c>
      <c r="I30" s="68"/>
      <c r="J30" s="68" t="s">
        <v>391</v>
      </c>
      <c r="K30" s="68" t="s">
        <v>385</v>
      </c>
      <c r="L30" s="67"/>
      <c r="M30" s="67"/>
      <c r="N30" s="104" t="str">
        <f t="shared" si="0"/>
        <v>Standard</v>
      </c>
      <c r="O30" s="104" t="str">
        <f t="shared" si="1"/>
        <v>NO</v>
      </c>
      <c r="P30" s="104" t="str">
        <f t="shared" si="2"/>
        <v>NO</v>
      </c>
    </row>
    <row r="31" spans="1:16" ht="121.5" hidden="1">
      <c r="A31" s="67">
        <v>29</v>
      </c>
      <c r="B31" s="68" t="s">
        <v>15</v>
      </c>
      <c r="C31" s="68" t="s">
        <v>22</v>
      </c>
      <c r="D31" s="68" t="s">
        <v>80</v>
      </c>
      <c r="E31" s="113" t="s">
        <v>104</v>
      </c>
      <c r="F31" s="68" t="s">
        <v>385</v>
      </c>
      <c r="G31" s="68" t="s">
        <v>375</v>
      </c>
      <c r="H31" s="67" t="s">
        <v>48</v>
      </c>
      <c r="I31" s="68"/>
      <c r="J31" s="68" t="s">
        <v>391</v>
      </c>
      <c r="K31" s="68" t="s">
        <v>380</v>
      </c>
      <c r="L31" s="67"/>
      <c r="M31" s="67"/>
      <c r="N31" s="104" t="str">
        <f t="shared" si="0"/>
        <v>Standard</v>
      </c>
      <c r="O31" s="104" t="str">
        <f t="shared" si="1"/>
        <v>NO</v>
      </c>
      <c r="P31" s="104" t="str">
        <f t="shared" si="2"/>
        <v>NO</v>
      </c>
    </row>
    <row r="32" spans="1:16" ht="81" hidden="1">
      <c r="A32" s="67">
        <v>30</v>
      </c>
      <c r="B32" s="68" t="s">
        <v>15</v>
      </c>
      <c r="C32" s="68" t="s">
        <v>28</v>
      </c>
      <c r="D32" s="68" t="s">
        <v>80</v>
      </c>
      <c r="E32" s="113" t="s">
        <v>105</v>
      </c>
      <c r="F32" s="68" t="s">
        <v>375</v>
      </c>
      <c r="G32" s="68" t="s">
        <v>392</v>
      </c>
      <c r="H32" s="67" t="s">
        <v>48</v>
      </c>
      <c r="I32" s="68"/>
      <c r="J32" s="68" t="s">
        <v>391</v>
      </c>
      <c r="K32" s="68" t="s">
        <v>385</v>
      </c>
      <c r="L32" s="67"/>
      <c r="M32" s="67"/>
      <c r="N32" s="104" t="str">
        <f t="shared" si="0"/>
        <v>Standard</v>
      </c>
      <c r="O32" s="104" t="str">
        <f t="shared" si="1"/>
        <v>NO</v>
      </c>
      <c r="P32" s="104" t="str">
        <f t="shared" si="2"/>
        <v>NO</v>
      </c>
    </row>
    <row r="33" spans="1:18" s="69" customFormat="1" ht="60.75" hidden="1">
      <c r="A33" s="67">
        <v>31</v>
      </c>
      <c r="B33" s="68" t="s">
        <v>17</v>
      </c>
      <c r="C33" s="68" t="s">
        <v>28</v>
      </c>
      <c r="D33" s="68" t="s">
        <v>106</v>
      </c>
      <c r="E33" s="112" t="s">
        <v>107</v>
      </c>
      <c r="F33" s="68" t="s">
        <v>375</v>
      </c>
      <c r="G33" s="68" t="s">
        <v>392</v>
      </c>
      <c r="H33" s="67" t="s">
        <v>48</v>
      </c>
      <c r="I33" s="68"/>
      <c r="J33" s="68" t="s">
        <v>391</v>
      </c>
      <c r="K33" s="68" t="s">
        <v>385</v>
      </c>
      <c r="L33" s="67"/>
      <c r="M33" s="67"/>
      <c r="N33" s="104" t="str">
        <f t="shared" si="0"/>
        <v>Beyond</v>
      </c>
      <c r="O33" s="104" t="str">
        <f t="shared" si="1"/>
        <v>NO</v>
      </c>
      <c r="P33" s="104" t="str">
        <f t="shared" si="2"/>
        <v>NO</v>
      </c>
    </row>
    <row r="34" spans="1:18" s="69" customFormat="1" ht="233.25" hidden="1" customHeight="1">
      <c r="A34" s="67">
        <v>32</v>
      </c>
      <c r="B34" s="68" t="s">
        <v>17</v>
      </c>
      <c r="C34" s="68" t="s">
        <v>28</v>
      </c>
      <c r="D34" s="68" t="s">
        <v>108</v>
      </c>
      <c r="E34" s="112" t="s">
        <v>109</v>
      </c>
      <c r="F34" s="68" t="s">
        <v>385</v>
      </c>
      <c r="G34" s="68" t="s">
        <v>392</v>
      </c>
      <c r="H34" s="67" t="s">
        <v>48</v>
      </c>
      <c r="I34" s="68"/>
      <c r="J34" s="112" t="s">
        <v>396</v>
      </c>
      <c r="K34" s="68" t="s">
        <v>397</v>
      </c>
      <c r="L34" s="67"/>
      <c r="M34" s="67"/>
      <c r="N34" s="104" t="str">
        <f t="shared" si="0"/>
        <v>Beyond</v>
      </c>
      <c r="O34" s="104" t="str">
        <f t="shared" si="1"/>
        <v>NO</v>
      </c>
      <c r="P34" s="104" t="str">
        <f t="shared" si="2"/>
        <v>NO</v>
      </c>
      <c r="R34" s="69" t="s">
        <v>400</v>
      </c>
    </row>
    <row r="35" spans="1:18" s="69" customFormat="1" ht="159" hidden="1" customHeight="1">
      <c r="A35" s="67">
        <v>33</v>
      </c>
      <c r="B35" s="68" t="s">
        <v>15</v>
      </c>
      <c r="C35" s="68" t="s">
        <v>28</v>
      </c>
      <c r="D35" s="68" t="s">
        <v>110</v>
      </c>
      <c r="E35" s="112" t="s">
        <v>111</v>
      </c>
      <c r="F35" s="68" t="s">
        <v>375</v>
      </c>
      <c r="G35" s="68" t="s">
        <v>392</v>
      </c>
      <c r="H35" s="67" t="s">
        <v>48</v>
      </c>
      <c r="I35" s="68"/>
      <c r="J35" s="68" t="s">
        <v>398</v>
      </c>
      <c r="K35" s="68" t="s">
        <v>385</v>
      </c>
      <c r="L35" s="67"/>
      <c r="M35" s="67"/>
      <c r="N35" s="104" t="str">
        <f t="shared" ref="N35:N66" si="3">IF(NOT(H35="N/A"),B35,"N/A")</f>
        <v>Standard</v>
      </c>
      <c r="O35" s="104" t="str">
        <f t="shared" ref="O35:O66" si="4">IF(H35="YES",B35,IF(H35="N/A","N/A","NO"))</f>
        <v>NO</v>
      </c>
      <c r="P35" s="104" t="str">
        <f t="shared" ref="P35:P66" si="5">IF(H35="YES",C35,IF(H35="N/A","N/A","NO"))</f>
        <v>NO</v>
      </c>
      <c r="R35" s="69" t="s">
        <v>399</v>
      </c>
    </row>
    <row r="36" spans="1:18" s="69" customFormat="1" ht="80.25" hidden="1" customHeight="1">
      <c r="A36" s="67">
        <v>34</v>
      </c>
      <c r="B36" s="68" t="s">
        <v>15</v>
      </c>
      <c r="C36" s="68" t="s">
        <v>28</v>
      </c>
      <c r="D36" s="68" t="s">
        <v>112</v>
      </c>
      <c r="E36" s="112" t="s">
        <v>113</v>
      </c>
      <c r="F36" s="68" t="s">
        <v>375</v>
      </c>
      <c r="G36" s="68" t="s">
        <v>392</v>
      </c>
      <c r="H36" s="67" t="s">
        <v>48</v>
      </c>
      <c r="I36" s="68"/>
      <c r="J36" s="68" t="s">
        <v>401</v>
      </c>
      <c r="K36" s="68" t="s">
        <v>385</v>
      </c>
      <c r="L36" s="67"/>
      <c r="M36" s="67"/>
      <c r="N36" s="104" t="str">
        <f t="shared" si="3"/>
        <v>Standard</v>
      </c>
      <c r="O36" s="104" t="str">
        <f t="shared" si="4"/>
        <v>NO</v>
      </c>
      <c r="P36" s="104" t="str">
        <f t="shared" si="5"/>
        <v>NO</v>
      </c>
    </row>
    <row r="37" spans="1:18" s="69" customFormat="1" ht="95.25" hidden="1" customHeight="1">
      <c r="A37" s="67">
        <v>35</v>
      </c>
      <c r="B37" s="68" t="s">
        <v>15</v>
      </c>
      <c r="C37" s="68" t="s">
        <v>29</v>
      </c>
      <c r="D37" s="68" t="s">
        <v>114</v>
      </c>
      <c r="E37" s="112" t="s">
        <v>115</v>
      </c>
      <c r="F37" s="68" t="s">
        <v>385</v>
      </c>
      <c r="G37" s="68" t="s">
        <v>375</v>
      </c>
      <c r="H37" s="67" t="s">
        <v>48</v>
      </c>
      <c r="I37" s="68"/>
      <c r="J37" s="68" t="s">
        <v>402</v>
      </c>
      <c r="K37" s="68" t="s">
        <v>380</v>
      </c>
      <c r="L37" s="67"/>
      <c r="M37" s="67"/>
      <c r="N37" s="104" t="str">
        <f t="shared" si="3"/>
        <v>Standard</v>
      </c>
      <c r="O37" s="104" t="str">
        <f t="shared" si="4"/>
        <v>NO</v>
      </c>
      <c r="P37" s="104" t="str">
        <f t="shared" si="5"/>
        <v>NO</v>
      </c>
    </row>
    <row r="38" spans="1:18" s="69" customFormat="1" ht="81">
      <c r="A38" s="67">
        <v>36</v>
      </c>
      <c r="B38" s="68" t="s">
        <v>15</v>
      </c>
      <c r="C38" s="68" t="s">
        <v>29</v>
      </c>
      <c r="D38" s="68" t="s">
        <v>116</v>
      </c>
      <c r="E38" s="112" t="s">
        <v>117</v>
      </c>
      <c r="F38" s="68" t="s">
        <v>375</v>
      </c>
      <c r="G38" s="68" t="s">
        <v>393</v>
      </c>
      <c r="H38" s="67" t="s">
        <v>48</v>
      </c>
      <c r="I38" s="68"/>
      <c r="J38" s="68" t="s">
        <v>403</v>
      </c>
      <c r="K38" s="68" t="s">
        <v>385</v>
      </c>
      <c r="L38" s="67"/>
      <c r="M38" s="67"/>
      <c r="N38" s="104" t="str">
        <f t="shared" si="3"/>
        <v>Standard</v>
      </c>
      <c r="O38" s="104" t="str">
        <f t="shared" si="4"/>
        <v>NO</v>
      </c>
      <c r="P38" s="104" t="str">
        <f t="shared" si="5"/>
        <v>NO</v>
      </c>
    </row>
    <row r="39" spans="1:18" s="69" customFormat="1" ht="104.45" hidden="1" customHeight="1">
      <c r="A39" s="67">
        <v>37</v>
      </c>
      <c r="B39" s="68" t="s">
        <v>15</v>
      </c>
      <c r="C39" s="68" t="s">
        <v>29</v>
      </c>
      <c r="D39" s="68" t="s">
        <v>114</v>
      </c>
      <c r="E39" s="112" t="s">
        <v>118</v>
      </c>
      <c r="F39" s="68" t="s">
        <v>385</v>
      </c>
      <c r="G39" s="68" t="s">
        <v>375</v>
      </c>
      <c r="H39" s="67" t="s">
        <v>48</v>
      </c>
      <c r="I39" s="68"/>
      <c r="J39" s="68" t="s">
        <v>404</v>
      </c>
      <c r="K39" s="68" t="s">
        <v>380</v>
      </c>
      <c r="L39" s="67"/>
      <c r="M39" s="67"/>
      <c r="N39" s="104" t="str">
        <f t="shared" si="3"/>
        <v>Standard</v>
      </c>
      <c r="O39" s="104" t="str">
        <f t="shared" si="4"/>
        <v>NO</v>
      </c>
      <c r="P39" s="104" t="str">
        <f t="shared" si="5"/>
        <v>NO</v>
      </c>
    </row>
    <row r="40" spans="1:18" s="69" customFormat="1" ht="85.15" hidden="1" customHeight="1">
      <c r="A40" s="67">
        <v>38</v>
      </c>
      <c r="B40" s="68" t="s">
        <v>15</v>
      </c>
      <c r="C40" s="68" t="s">
        <v>29</v>
      </c>
      <c r="D40" s="68" t="s">
        <v>119</v>
      </c>
      <c r="E40" s="112" t="s">
        <v>120</v>
      </c>
      <c r="F40" s="68" t="s">
        <v>375</v>
      </c>
      <c r="G40" s="68" t="s">
        <v>394</v>
      </c>
      <c r="H40" s="67" t="s">
        <v>48</v>
      </c>
      <c r="I40" s="68"/>
      <c r="J40" s="68" t="s">
        <v>405</v>
      </c>
      <c r="K40" s="68" t="s">
        <v>385</v>
      </c>
      <c r="L40" s="67"/>
      <c r="M40" s="67"/>
      <c r="N40" s="104" t="str">
        <f t="shared" si="3"/>
        <v>Standard</v>
      </c>
      <c r="O40" s="104" t="str">
        <f t="shared" si="4"/>
        <v>NO</v>
      </c>
      <c r="P40" s="104" t="str">
        <f t="shared" si="5"/>
        <v>NO</v>
      </c>
    </row>
    <row r="41" spans="1:18" ht="101.25">
      <c r="A41" s="67">
        <v>39</v>
      </c>
      <c r="B41" s="68" t="s">
        <v>15</v>
      </c>
      <c r="C41" s="68" t="s">
        <v>29</v>
      </c>
      <c r="D41" s="68" t="s">
        <v>121</v>
      </c>
      <c r="E41" s="113" t="s">
        <v>122</v>
      </c>
      <c r="F41" s="68" t="s">
        <v>375</v>
      </c>
      <c r="G41" s="68" t="s">
        <v>393</v>
      </c>
      <c r="H41" s="67" t="s">
        <v>48</v>
      </c>
      <c r="I41" s="68"/>
      <c r="J41" s="68" t="s">
        <v>406</v>
      </c>
      <c r="K41" s="68" t="s">
        <v>385</v>
      </c>
      <c r="L41" s="67"/>
      <c r="M41" s="67"/>
      <c r="N41" s="104" t="str">
        <f t="shared" si="3"/>
        <v>Standard</v>
      </c>
      <c r="O41" s="104" t="str">
        <f t="shared" si="4"/>
        <v>NO</v>
      </c>
      <c r="P41" s="104" t="str">
        <f t="shared" si="5"/>
        <v>NO</v>
      </c>
    </row>
    <row r="42" spans="1:18" s="69" customFormat="1" ht="81" hidden="1">
      <c r="A42" s="67">
        <v>40</v>
      </c>
      <c r="B42" s="68" t="s">
        <v>15</v>
      </c>
      <c r="C42" s="68" t="s">
        <v>30</v>
      </c>
      <c r="D42" s="68" t="s">
        <v>123</v>
      </c>
      <c r="E42" s="112" t="s">
        <v>124</v>
      </c>
      <c r="F42" s="68" t="s">
        <v>375</v>
      </c>
      <c r="G42" s="68" t="s">
        <v>395</v>
      </c>
      <c r="H42" s="67" t="s">
        <v>48</v>
      </c>
      <c r="I42" s="68"/>
      <c r="J42" s="68" t="s">
        <v>407</v>
      </c>
      <c r="K42" s="68" t="s">
        <v>385</v>
      </c>
      <c r="L42" s="67"/>
      <c r="M42" s="67"/>
      <c r="N42" s="104" t="str">
        <f t="shared" si="3"/>
        <v>Standard</v>
      </c>
      <c r="O42" s="104" t="str">
        <f t="shared" si="4"/>
        <v>NO</v>
      </c>
      <c r="P42" s="104" t="str">
        <f t="shared" si="5"/>
        <v>NO</v>
      </c>
    </row>
    <row r="43" spans="1:18" s="69" customFormat="1" ht="121.5" hidden="1">
      <c r="A43" s="67">
        <v>41</v>
      </c>
      <c r="B43" s="68" t="s">
        <v>15</v>
      </c>
      <c r="C43" s="68" t="s">
        <v>30</v>
      </c>
      <c r="D43" s="68" t="s">
        <v>125</v>
      </c>
      <c r="E43" s="112" t="s">
        <v>126</v>
      </c>
      <c r="F43" s="68" t="s">
        <v>375</v>
      </c>
      <c r="G43" s="68" t="s">
        <v>395</v>
      </c>
      <c r="H43" s="67" t="s">
        <v>48</v>
      </c>
      <c r="I43" s="68"/>
      <c r="J43" s="68" t="s">
        <v>408</v>
      </c>
      <c r="K43" s="68" t="s">
        <v>385</v>
      </c>
      <c r="L43" s="67"/>
      <c r="M43" s="67"/>
      <c r="N43" s="104" t="str">
        <f t="shared" si="3"/>
        <v>Standard</v>
      </c>
      <c r="O43" s="104" t="str">
        <f t="shared" si="4"/>
        <v>NO</v>
      </c>
      <c r="P43" s="104" t="str">
        <f t="shared" si="5"/>
        <v>NO</v>
      </c>
    </row>
    <row r="44" spans="1:18" s="69" customFormat="1" ht="101.25" hidden="1">
      <c r="A44" s="67">
        <v>42</v>
      </c>
      <c r="B44" s="68" t="s">
        <v>15</v>
      </c>
      <c r="C44" s="68" t="s">
        <v>21</v>
      </c>
      <c r="D44" s="68" t="s">
        <v>127</v>
      </c>
      <c r="E44" s="112" t="s">
        <v>128</v>
      </c>
      <c r="F44" s="68" t="s">
        <v>375</v>
      </c>
      <c r="G44" s="68" t="s">
        <v>395</v>
      </c>
      <c r="H44" s="67" t="s">
        <v>48</v>
      </c>
      <c r="I44" s="68"/>
      <c r="J44" s="68" t="s">
        <v>409</v>
      </c>
      <c r="K44" s="68" t="s">
        <v>385</v>
      </c>
      <c r="L44" s="67"/>
      <c r="M44" s="67"/>
      <c r="N44" s="104" t="str">
        <f t="shared" si="3"/>
        <v>Standard</v>
      </c>
      <c r="O44" s="104" t="str">
        <f t="shared" si="4"/>
        <v>NO</v>
      </c>
      <c r="P44" s="104" t="str">
        <f t="shared" si="5"/>
        <v>NO</v>
      </c>
    </row>
    <row r="45" spans="1:18" s="69" customFormat="1" ht="121.5">
      <c r="A45" s="67">
        <v>43</v>
      </c>
      <c r="B45" s="68" t="s">
        <v>15</v>
      </c>
      <c r="C45" s="68" t="s">
        <v>31</v>
      </c>
      <c r="D45" s="68" t="s">
        <v>86</v>
      </c>
      <c r="E45" s="112" t="s">
        <v>129</v>
      </c>
      <c r="F45" s="68" t="s">
        <v>375</v>
      </c>
      <c r="G45" s="68" t="s">
        <v>393</v>
      </c>
      <c r="H45" s="67" t="s">
        <v>48</v>
      </c>
      <c r="I45" s="68"/>
      <c r="J45" s="68" t="s">
        <v>410</v>
      </c>
      <c r="K45" s="68" t="s">
        <v>385</v>
      </c>
      <c r="L45" s="67"/>
      <c r="M45" s="67"/>
      <c r="N45" s="104" t="str">
        <f t="shared" si="3"/>
        <v>Standard</v>
      </c>
      <c r="O45" s="104" t="str">
        <f t="shared" si="4"/>
        <v>NO</v>
      </c>
      <c r="P45" s="104" t="str">
        <f t="shared" si="5"/>
        <v>NO</v>
      </c>
    </row>
    <row r="46" spans="1:18" s="69" customFormat="1" ht="121.5" hidden="1">
      <c r="A46" s="67">
        <v>44</v>
      </c>
      <c r="B46" s="68" t="s">
        <v>15</v>
      </c>
      <c r="C46" s="68" t="s">
        <v>31</v>
      </c>
      <c r="D46" s="68" t="s">
        <v>130</v>
      </c>
      <c r="E46" s="112" t="s">
        <v>131</v>
      </c>
      <c r="F46" s="68" t="s">
        <v>385</v>
      </c>
      <c r="G46" s="68" t="s">
        <v>375</v>
      </c>
      <c r="H46" s="67" t="s">
        <v>48</v>
      </c>
      <c r="I46" s="68"/>
      <c r="J46" s="68" t="s">
        <v>411</v>
      </c>
      <c r="K46" s="68" t="s">
        <v>380</v>
      </c>
      <c r="L46" s="67"/>
      <c r="M46" s="67"/>
      <c r="N46" s="104" t="str">
        <f t="shared" si="3"/>
        <v>Standard</v>
      </c>
      <c r="O46" s="104" t="str">
        <f t="shared" si="4"/>
        <v>NO</v>
      </c>
      <c r="P46" s="104" t="str">
        <f t="shared" si="5"/>
        <v>NO</v>
      </c>
    </row>
    <row r="47" spans="1:18" ht="121.5">
      <c r="A47" s="67">
        <v>45</v>
      </c>
      <c r="B47" s="68" t="s">
        <v>13</v>
      </c>
      <c r="C47" s="68" t="s">
        <v>21</v>
      </c>
      <c r="D47" s="68" t="s">
        <v>132</v>
      </c>
      <c r="E47" s="113" t="s">
        <v>133</v>
      </c>
      <c r="F47" s="68" t="s">
        <v>375</v>
      </c>
      <c r="G47" s="68" t="s">
        <v>393</v>
      </c>
      <c r="H47" s="67" t="s">
        <v>48</v>
      </c>
      <c r="I47" s="68"/>
      <c r="J47" s="68" t="s">
        <v>412</v>
      </c>
      <c r="K47" s="68" t="s">
        <v>385</v>
      </c>
      <c r="L47" s="67"/>
      <c r="M47" s="67"/>
      <c r="N47" s="104" t="str">
        <f t="shared" si="3"/>
        <v>Basic</v>
      </c>
      <c r="O47" s="104" t="str">
        <f t="shared" si="4"/>
        <v>NO</v>
      </c>
      <c r="P47" s="104" t="str">
        <f t="shared" si="5"/>
        <v>NO</v>
      </c>
    </row>
    <row r="48" spans="1:18" ht="60.75">
      <c r="A48" s="67">
        <v>46</v>
      </c>
      <c r="B48" s="68" t="s">
        <v>15</v>
      </c>
      <c r="C48" s="68" t="s">
        <v>31</v>
      </c>
      <c r="D48" s="68" t="s">
        <v>121</v>
      </c>
      <c r="E48" s="113" t="s">
        <v>134</v>
      </c>
      <c r="F48" s="68" t="s">
        <v>375</v>
      </c>
      <c r="G48" s="68" t="s">
        <v>393</v>
      </c>
      <c r="H48" s="67" t="s">
        <v>48</v>
      </c>
      <c r="I48" s="68"/>
      <c r="J48" s="68" t="s">
        <v>413</v>
      </c>
      <c r="K48" s="68" t="s">
        <v>385</v>
      </c>
      <c r="L48" s="67"/>
      <c r="M48" s="67"/>
      <c r="N48" s="104" t="str">
        <f t="shared" si="3"/>
        <v>Standard</v>
      </c>
      <c r="O48" s="104" t="str">
        <f t="shared" si="4"/>
        <v>NO</v>
      </c>
      <c r="P48" s="104" t="str">
        <f t="shared" si="5"/>
        <v>NO</v>
      </c>
    </row>
    <row r="49" spans="1:16" ht="162">
      <c r="A49" s="67">
        <v>47</v>
      </c>
      <c r="B49" s="68" t="s">
        <v>15</v>
      </c>
      <c r="C49" s="68" t="s">
        <v>21</v>
      </c>
      <c r="D49" s="68" t="s">
        <v>135</v>
      </c>
      <c r="E49" s="113" t="s">
        <v>136</v>
      </c>
      <c r="F49" s="68" t="s">
        <v>375</v>
      </c>
      <c r="G49" s="68" t="s">
        <v>393</v>
      </c>
      <c r="H49" s="67" t="s">
        <v>48</v>
      </c>
      <c r="I49" s="68"/>
      <c r="J49" s="68" t="s">
        <v>413</v>
      </c>
      <c r="K49" s="68" t="s">
        <v>385</v>
      </c>
      <c r="L49" s="67"/>
      <c r="M49" s="67"/>
      <c r="N49" s="104" t="str">
        <f t="shared" si="3"/>
        <v>Standard</v>
      </c>
      <c r="O49" s="104" t="str">
        <f t="shared" si="4"/>
        <v>NO</v>
      </c>
      <c r="P49" s="104" t="str">
        <f t="shared" si="5"/>
        <v>NO</v>
      </c>
    </row>
    <row r="50" spans="1:16" ht="121.5">
      <c r="A50" s="67">
        <v>48</v>
      </c>
      <c r="B50" s="68" t="s">
        <v>15</v>
      </c>
      <c r="C50" s="68" t="s">
        <v>21</v>
      </c>
      <c r="D50" s="68" t="s">
        <v>137</v>
      </c>
      <c r="E50" s="113" t="s">
        <v>138</v>
      </c>
      <c r="F50" s="68" t="s">
        <v>375</v>
      </c>
      <c r="G50" s="68" t="s">
        <v>393</v>
      </c>
      <c r="H50" s="67" t="s">
        <v>48</v>
      </c>
      <c r="I50" s="68"/>
      <c r="J50" s="68" t="s">
        <v>413</v>
      </c>
      <c r="K50" s="68" t="s">
        <v>385</v>
      </c>
      <c r="L50" s="67"/>
      <c r="M50" s="67"/>
      <c r="N50" s="104" t="str">
        <f t="shared" si="3"/>
        <v>Standard</v>
      </c>
      <c r="O50" s="104" t="str">
        <f t="shared" si="4"/>
        <v>NO</v>
      </c>
      <c r="P50" s="104" t="str">
        <f t="shared" si="5"/>
        <v>NO</v>
      </c>
    </row>
    <row r="51" spans="1:16" ht="101.25">
      <c r="A51" s="67">
        <v>49</v>
      </c>
      <c r="B51" s="68" t="s">
        <v>15</v>
      </c>
      <c r="C51" s="68" t="s">
        <v>21</v>
      </c>
      <c r="D51" s="68" t="s">
        <v>139</v>
      </c>
      <c r="E51" s="113" t="s">
        <v>140</v>
      </c>
      <c r="F51" s="68" t="s">
        <v>375</v>
      </c>
      <c r="G51" s="68" t="s">
        <v>393</v>
      </c>
      <c r="H51" s="67" t="s">
        <v>48</v>
      </c>
      <c r="I51" s="68"/>
      <c r="J51" s="68" t="s">
        <v>413</v>
      </c>
      <c r="K51" s="68" t="s">
        <v>385</v>
      </c>
      <c r="L51" s="67"/>
      <c r="M51" s="67"/>
      <c r="N51" s="104" t="str">
        <f t="shared" si="3"/>
        <v>Standard</v>
      </c>
      <c r="O51" s="104" t="str">
        <f t="shared" si="4"/>
        <v>NO</v>
      </c>
      <c r="P51" s="104" t="str">
        <f t="shared" si="5"/>
        <v>NO</v>
      </c>
    </row>
    <row r="52" spans="1:16" ht="162" hidden="1">
      <c r="A52" s="67">
        <v>50</v>
      </c>
      <c r="B52" s="68" t="s">
        <v>15</v>
      </c>
      <c r="C52" s="68" t="s">
        <v>21</v>
      </c>
      <c r="D52" s="68" t="s">
        <v>141</v>
      </c>
      <c r="E52" s="113" t="s">
        <v>142</v>
      </c>
      <c r="F52" s="68" t="s">
        <v>385</v>
      </c>
      <c r="G52" s="68" t="s">
        <v>375</v>
      </c>
      <c r="H52" s="67" t="s">
        <v>48</v>
      </c>
      <c r="I52" s="68"/>
      <c r="J52" s="68" t="s">
        <v>414</v>
      </c>
      <c r="K52" s="68" t="s">
        <v>380</v>
      </c>
      <c r="L52" s="67"/>
      <c r="M52" s="67"/>
      <c r="N52" s="104" t="str">
        <f t="shared" si="3"/>
        <v>Standard</v>
      </c>
      <c r="O52" s="104" t="str">
        <f t="shared" si="4"/>
        <v>NO</v>
      </c>
      <c r="P52" s="104" t="str">
        <f t="shared" si="5"/>
        <v>NO</v>
      </c>
    </row>
    <row r="53" spans="1:16" ht="81.75" customHeight="1">
      <c r="A53" s="67">
        <v>51</v>
      </c>
      <c r="B53" s="68" t="s">
        <v>15</v>
      </c>
      <c r="C53" s="68" t="s">
        <v>21</v>
      </c>
      <c r="D53" s="68" t="s">
        <v>143</v>
      </c>
      <c r="E53" s="113" t="s">
        <v>144</v>
      </c>
      <c r="F53" s="68" t="s">
        <v>375</v>
      </c>
      <c r="G53" s="68" t="s">
        <v>393</v>
      </c>
      <c r="H53" s="67" t="s">
        <v>48</v>
      </c>
      <c r="I53" s="68"/>
      <c r="J53" s="68" t="s">
        <v>415</v>
      </c>
      <c r="K53" s="68" t="s">
        <v>385</v>
      </c>
      <c r="L53" s="67"/>
      <c r="M53" s="67"/>
      <c r="N53" s="104" t="str">
        <f t="shared" si="3"/>
        <v>Standard</v>
      </c>
      <c r="O53" s="104" t="str">
        <f t="shared" si="4"/>
        <v>NO</v>
      </c>
      <c r="P53" s="104" t="str">
        <f t="shared" si="5"/>
        <v>NO</v>
      </c>
    </row>
    <row r="54" spans="1:16" ht="101.25">
      <c r="A54" s="67">
        <v>52</v>
      </c>
      <c r="B54" s="68" t="s">
        <v>15</v>
      </c>
      <c r="C54" s="68" t="s">
        <v>21</v>
      </c>
      <c r="D54" s="68" t="s">
        <v>145</v>
      </c>
      <c r="E54" s="113" t="s">
        <v>146</v>
      </c>
      <c r="F54" s="68" t="s">
        <v>375</v>
      </c>
      <c r="G54" s="68" t="s">
        <v>393</v>
      </c>
      <c r="H54" s="67" t="s">
        <v>48</v>
      </c>
      <c r="I54" s="68"/>
      <c r="J54" s="68" t="s">
        <v>416</v>
      </c>
      <c r="K54" s="68" t="s">
        <v>385</v>
      </c>
      <c r="L54" s="67"/>
      <c r="M54" s="67"/>
      <c r="N54" s="104" t="str">
        <f t="shared" si="3"/>
        <v>Standard</v>
      </c>
      <c r="O54" s="104" t="str">
        <f t="shared" si="4"/>
        <v>NO</v>
      </c>
      <c r="P54" s="104" t="str">
        <f t="shared" si="5"/>
        <v>NO</v>
      </c>
    </row>
    <row r="55" spans="1:16" ht="81">
      <c r="A55" s="67">
        <v>53</v>
      </c>
      <c r="B55" s="68" t="s">
        <v>15</v>
      </c>
      <c r="C55" s="68" t="s">
        <v>31</v>
      </c>
      <c r="D55" s="68" t="s">
        <v>147</v>
      </c>
      <c r="E55" s="113" t="s">
        <v>93</v>
      </c>
      <c r="F55" s="68" t="s">
        <v>375</v>
      </c>
      <c r="G55" s="68" t="s">
        <v>393</v>
      </c>
      <c r="H55" s="67" t="s">
        <v>48</v>
      </c>
      <c r="I55" s="68"/>
      <c r="J55" s="68" t="s">
        <v>422</v>
      </c>
      <c r="K55" s="68" t="s">
        <v>385</v>
      </c>
      <c r="L55" s="67"/>
      <c r="M55" s="67"/>
      <c r="N55" s="104" t="str">
        <f t="shared" si="3"/>
        <v>Standard</v>
      </c>
      <c r="O55" s="104" t="str">
        <f t="shared" si="4"/>
        <v>NO</v>
      </c>
      <c r="P55" s="104" t="str">
        <f t="shared" si="5"/>
        <v>NO</v>
      </c>
    </row>
    <row r="56" spans="1:16" ht="81" hidden="1">
      <c r="A56" s="67">
        <v>54</v>
      </c>
      <c r="B56" s="68" t="s">
        <v>15</v>
      </c>
      <c r="C56" s="68" t="s">
        <v>21</v>
      </c>
      <c r="D56" s="68" t="s">
        <v>148</v>
      </c>
      <c r="E56" s="113" t="s">
        <v>93</v>
      </c>
      <c r="F56" s="68" t="s">
        <v>385</v>
      </c>
      <c r="G56" s="68" t="s">
        <v>375</v>
      </c>
      <c r="H56" s="67" t="s">
        <v>48</v>
      </c>
      <c r="I56" s="68"/>
      <c r="J56" s="68" t="s">
        <v>422</v>
      </c>
      <c r="K56" s="68" t="s">
        <v>380</v>
      </c>
      <c r="L56" s="67"/>
      <c r="M56" s="67"/>
      <c r="N56" s="104" t="str">
        <f t="shared" si="3"/>
        <v>Standard</v>
      </c>
      <c r="O56" s="104" t="str">
        <f t="shared" si="4"/>
        <v>NO</v>
      </c>
      <c r="P56" s="104" t="str">
        <f t="shared" si="5"/>
        <v>NO</v>
      </c>
    </row>
    <row r="57" spans="1:16" ht="81" hidden="1">
      <c r="A57" s="67">
        <v>55</v>
      </c>
      <c r="B57" s="68" t="s">
        <v>15</v>
      </c>
      <c r="C57" s="68" t="s">
        <v>21</v>
      </c>
      <c r="D57" s="68" t="s">
        <v>149</v>
      </c>
      <c r="E57" s="113" t="s">
        <v>93</v>
      </c>
      <c r="F57" s="68" t="s">
        <v>385</v>
      </c>
      <c r="G57" s="68" t="s">
        <v>375</v>
      </c>
      <c r="H57" s="67" t="s">
        <v>48</v>
      </c>
      <c r="I57" s="68"/>
      <c r="J57" s="68" t="s">
        <v>422</v>
      </c>
      <c r="K57" s="68" t="s">
        <v>380</v>
      </c>
      <c r="L57" s="67"/>
      <c r="M57" s="67"/>
      <c r="N57" s="104" t="str">
        <f t="shared" si="3"/>
        <v>Standard</v>
      </c>
      <c r="O57" s="104" t="str">
        <f t="shared" si="4"/>
        <v>NO</v>
      </c>
      <c r="P57" s="104" t="str">
        <f t="shared" si="5"/>
        <v>NO</v>
      </c>
    </row>
    <row r="58" spans="1:16" ht="141.75" hidden="1">
      <c r="A58" s="67">
        <v>56</v>
      </c>
      <c r="B58" s="68" t="s">
        <v>15</v>
      </c>
      <c r="C58" s="68" t="s">
        <v>22</v>
      </c>
      <c r="D58" s="68" t="s">
        <v>150</v>
      </c>
      <c r="E58" s="113" t="s">
        <v>151</v>
      </c>
      <c r="F58" s="68" t="s">
        <v>385</v>
      </c>
      <c r="G58" s="68" t="s">
        <v>375</v>
      </c>
      <c r="H58" s="67" t="s">
        <v>48</v>
      </c>
      <c r="I58" s="68"/>
      <c r="J58" s="68" t="s">
        <v>423</v>
      </c>
      <c r="K58" s="68" t="s">
        <v>380</v>
      </c>
      <c r="L58" s="67"/>
      <c r="M58" s="67"/>
      <c r="N58" s="104" t="str">
        <f t="shared" si="3"/>
        <v>Standard</v>
      </c>
      <c r="O58" s="104" t="str">
        <f t="shared" si="4"/>
        <v>NO</v>
      </c>
      <c r="P58" s="104" t="str">
        <f t="shared" si="5"/>
        <v>NO</v>
      </c>
    </row>
    <row r="59" spans="1:16" ht="82.5" hidden="1" customHeight="1">
      <c r="A59" s="67">
        <v>57</v>
      </c>
      <c r="B59" s="68" t="s">
        <v>15</v>
      </c>
      <c r="C59" s="68" t="s">
        <v>23</v>
      </c>
      <c r="D59" s="68" t="s">
        <v>152</v>
      </c>
      <c r="E59" s="114" t="s">
        <v>153</v>
      </c>
      <c r="F59" s="68" t="s">
        <v>385</v>
      </c>
      <c r="G59" s="68" t="s">
        <v>375</v>
      </c>
      <c r="H59" s="67" t="s">
        <v>48</v>
      </c>
      <c r="I59" s="68"/>
      <c r="J59" s="68" t="s">
        <v>413</v>
      </c>
      <c r="K59" s="68" t="s">
        <v>380</v>
      </c>
      <c r="L59" s="67"/>
      <c r="M59" s="67"/>
      <c r="N59" s="104" t="str">
        <f t="shared" si="3"/>
        <v>Standard</v>
      </c>
      <c r="O59" s="104" t="str">
        <f t="shared" si="4"/>
        <v>NO</v>
      </c>
      <c r="P59" s="104" t="str">
        <f t="shared" si="5"/>
        <v>NO</v>
      </c>
    </row>
    <row r="60" spans="1:16" s="69" customFormat="1" ht="82.5" hidden="1" customHeight="1">
      <c r="A60" s="67">
        <v>58</v>
      </c>
      <c r="B60" s="68" t="s">
        <v>15</v>
      </c>
      <c r="C60" s="68" t="s">
        <v>32</v>
      </c>
      <c r="D60" s="68" t="s">
        <v>86</v>
      </c>
      <c r="E60" s="112" t="s">
        <v>154</v>
      </c>
      <c r="F60" s="68" t="s">
        <v>385</v>
      </c>
      <c r="G60" s="68" t="s">
        <v>375</v>
      </c>
      <c r="H60" s="67" t="s">
        <v>48</v>
      </c>
      <c r="I60" s="68"/>
      <c r="J60" s="68" t="s">
        <v>413</v>
      </c>
      <c r="K60" s="68" t="s">
        <v>380</v>
      </c>
      <c r="L60" s="67"/>
      <c r="M60" s="67"/>
      <c r="N60" s="104" t="str">
        <f t="shared" si="3"/>
        <v>Standard</v>
      </c>
      <c r="O60" s="104" t="str">
        <f t="shared" si="4"/>
        <v>NO</v>
      </c>
      <c r="P60" s="104" t="str">
        <f t="shared" si="5"/>
        <v>NO</v>
      </c>
    </row>
    <row r="61" spans="1:16" ht="81" hidden="1">
      <c r="A61" s="67">
        <v>59</v>
      </c>
      <c r="B61" s="68" t="s">
        <v>15</v>
      </c>
      <c r="C61" s="68" t="s">
        <v>32</v>
      </c>
      <c r="D61" s="68" t="s">
        <v>155</v>
      </c>
      <c r="E61" s="113" t="s">
        <v>156</v>
      </c>
      <c r="F61" s="68" t="s">
        <v>385</v>
      </c>
      <c r="G61" s="68" t="s">
        <v>375</v>
      </c>
      <c r="H61" s="67" t="s">
        <v>48</v>
      </c>
      <c r="I61" s="68"/>
      <c r="J61" s="68" t="s">
        <v>424</v>
      </c>
      <c r="K61" s="68" t="s">
        <v>380</v>
      </c>
      <c r="L61" s="67"/>
      <c r="M61" s="67"/>
      <c r="N61" s="104" t="str">
        <f t="shared" si="3"/>
        <v>Standard</v>
      </c>
      <c r="O61" s="104" t="str">
        <f t="shared" si="4"/>
        <v>NO</v>
      </c>
      <c r="P61" s="104" t="str">
        <f t="shared" si="5"/>
        <v>NO</v>
      </c>
    </row>
    <row r="62" spans="1:16" s="69" customFormat="1" ht="81" hidden="1">
      <c r="A62" s="67">
        <v>60</v>
      </c>
      <c r="B62" s="68" t="s">
        <v>15</v>
      </c>
      <c r="C62" s="68" t="s">
        <v>32</v>
      </c>
      <c r="D62" s="68" t="s">
        <v>157</v>
      </c>
      <c r="E62" s="112" t="s">
        <v>158</v>
      </c>
      <c r="F62" s="68" t="s">
        <v>385</v>
      </c>
      <c r="G62" s="68" t="s">
        <v>375</v>
      </c>
      <c r="H62" s="67" t="s">
        <v>48</v>
      </c>
      <c r="I62" s="68"/>
      <c r="J62" s="68" t="s">
        <v>424</v>
      </c>
      <c r="K62" s="68" t="s">
        <v>380</v>
      </c>
      <c r="L62" s="67"/>
      <c r="M62" s="67"/>
      <c r="N62" s="104" t="str">
        <f t="shared" si="3"/>
        <v>Standard</v>
      </c>
      <c r="O62" s="104" t="str">
        <f t="shared" si="4"/>
        <v>NO</v>
      </c>
      <c r="P62" s="104" t="str">
        <f t="shared" si="5"/>
        <v>NO</v>
      </c>
    </row>
    <row r="63" spans="1:16" ht="121.5" hidden="1">
      <c r="A63" s="67">
        <v>61</v>
      </c>
      <c r="B63" s="68" t="s">
        <v>15</v>
      </c>
      <c r="C63" s="68" t="s">
        <v>32</v>
      </c>
      <c r="D63" s="68" t="s">
        <v>121</v>
      </c>
      <c r="E63" s="113" t="s">
        <v>159</v>
      </c>
      <c r="F63" s="68" t="s">
        <v>385</v>
      </c>
      <c r="G63" s="68" t="s">
        <v>375</v>
      </c>
      <c r="H63" s="67" t="s">
        <v>48</v>
      </c>
      <c r="I63" s="68"/>
      <c r="J63" s="68" t="s">
        <v>425</v>
      </c>
      <c r="K63" s="68" t="s">
        <v>380</v>
      </c>
      <c r="L63" s="67"/>
      <c r="M63" s="67"/>
      <c r="N63" s="104" t="str">
        <f t="shared" si="3"/>
        <v>Standard</v>
      </c>
      <c r="O63" s="104" t="str">
        <f t="shared" si="4"/>
        <v>NO</v>
      </c>
      <c r="P63" s="104" t="str">
        <f t="shared" si="5"/>
        <v>NO</v>
      </c>
    </row>
    <row r="64" spans="1:16" s="69" customFormat="1" ht="81" hidden="1">
      <c r="A64" s="67">
        <v>62</v>
      </c>
      <c r="B64" s="68" t="s">
        <v>15</v>
      </c>
      <c r="C64" s="68" t="s">
        <v>33</v>
      </c>
      <c r="D64" s="68" t="s">
        <v>160</v>
      </c>
      <c r="E64" s="112" t="s">
        <v>161</v>
      </c>
      <c r="F64" s="68" t="s">
        <v>385</v>
      </c>
      <c r="G64" s="68" t="s">
        <v>375</v>
      </c>
      <c r="H64" s="67" t="s">
        <v>48</v>
      </c>
      <c r="I64" s="68"/>
      <c r="J64" s="68" t="s">
        <v>427</v>
      </c>
      <c r="K64" s="68" t="s">
        <v>380</v>
      </c>
      <c r="L64" s="67"/>
      <c r="M64" s="67"/>
      <c r="N64" s="104" t="str">
        <f t="shared" si="3"/>
        <v>Standard</v>
      </c>
      <c r="O64" s="104" t="str">
        <f t="shared" si="4"/>
        <v>NO</v>
      </c>
      <c r="P64" s="104" t="str">
        <f t="shared" si="5"/>
        <v>NO</v>
      </c>
    </row>
    <row r="65" spans="1:18" s="69" customFormat="1" ht="121.5" hidden="1">
      <c r="A65" s="67">
        <v>63</v>
      </c>
      <c r="B65" s="68" t="s">
        <v>15</v>
      </c>
      <c r="C65" s="68" t="s">
        <v>33</v>
      </c>
      <c r="D65" s="68" t="s">
        <v>162</v>
      </c>
      <c r="E65" s="112" t="s">
        <v>163</v>
      </c>
      <c r="F65" s="68" t="s">
        <v>385</v>
      </c>
      <c r="G65" s="68" t="s">
        <v>375</v>
      </c>
      <c r="H65" s="67" t="s">
        <v>48</v>
      </c>
      <c r="I65" s="68"/>
      <c r="J65" s="68" t="s">
        <v>426</v>
      </c>
      <c r="K65" s="68" t="s">
        <v>380</v>
      </c>
      <c r="L65" s="67"/>
      <c r="M65" s="67"/>
      <c r="N65" s="104" t="str">
        <f t="shared" si="3"/>
        <v>Standard</v>
      </c>
      <c r="O65" s="104" t="str">
        <f t="shared" si="4"/>
        <v>NO</v>
      </c>
      <c r="P65" s="104" t="str">
        <f t="shared" si="5"/>
        <v>NO</v>
      </c>
    </row>
    <row r="66" spans="1:18" s="69" customFormat="1" ht="60.75" hidden="1">
      <c r="A66" s="67">
        <v>64</v>
      </c>
      <c r="B66" s="68" t="s">
        <v>15</v>
      </c>
      <c r="C66" s="68" t="s">
        <v>33</v>
      </c>
      <c r="D66" s="68" t="s">
        <v>164</v>
      </c>
      <c r="E66" s="112" t="s">
        <v>165</v>
      </c>
      <c r="F66" s="68" t="s">
        <v>375</v>
      </c>
      <c r="G66" s="68" t="s">
        <v>392</v>
      </c>
      <c r="H66" s="67" t="s">
        <v>48</v>
      </c>
      <c r="I66" s="68"/>
      <c r="J66" s="68" t="s">
        <v>391</v>
      </c>
      <c r="K66" s="68" t="s">
        <v>380</v>
      </c>
      <c r="L66" s="67"/>
      <c r="M66" s="67"/>
      <c r="N66" s="104" t="str">
        <f t="shared" si="3"/>
        <v>Standard</v>
      </c>
      <c r="O66" s="104" t="str">
        <f t="shared" si="4"/>
        <v>NO</v>
      </c>
      <c r="P66" s="104" t="str">
        <f t="shared" si="5"/>
        <v>NO</v>
      </c>
      <c r="R66" s="69" t="s">
        <v>428</v>
      </c>
    </row>
    <row r="67" spans="1:18" s="69" customFormat="1" ht="101.25">
      <c r="A67" s="67">
        <v>65</v>
      </c>
      <c r="B67" s="68" t="s">
        <v>15</v>
      </c>
      <c r="C67" s="68" t="s">
        <v>33</v>
      </c>
      <c r="D67" s="68" t="s">
        <v>166</v>
      </c>
      <c r="E67" s="112" t="s">
        <v>167</v>
      </c>
      <c r="F67" s="68" t="s">
        <v>375</v>
      </c>
      <c r="G67" s="68" t="s">
        <v>393</v>
      </c>
      <c r="H67" s="67" t="s">
        <v>48</v>
      </c>
      <c r="I67" s="68"/>
      <c r="J67" s="68" t="s">
        <v>430</v>
      </c>
      <c r="K67" s="68" t="s">
        <v>385</v>
      </c>
      <c r="L67" s="67"/>
      <c r="M67" s="67"/>
      <c r="N67" s="104" t="str">
        <f t="shared" ref="N67:N77" si="6">IF(NOT(H67="N/A"),B67,"N/A")</f>
        <v>Standard</v>
      </c>
      <c r="O67" s="104" t="str">
        <f t="shared" ref="O67:O77" si="7">IF(H67="YES",B67,IF(H67="N/A","N/A","NO"))</f>
        <v>NO</v>
      </c>
      <c r="P67" s="104" t="str">
        <f t="shared" ref="P67:P77" si="8">IF(H67="YES",C67,IF(H67="N/A","N/A","NO"))</f>
        <v>NO</v>
      </c>
      <c r="R67" s="69" t="s">
        <v>429</v>
      </c>
    </row>
    <row r="68" spans="1:18" s="69" customFormat="1" ht="182.25" hidden="1">
      <c r="A68" s="67">
        <v>66</v>
      </c>
      <c r="B68" s="68" t="s">
        <v>15</v>
      </c>
      <c r="C68" s="68" t="s">
        <v>33</v>
      </c>
      <c r="D68" s="68" t="s">
        <v>168</v>
      </c>
      <c r="E68" s="112" t="s">
        <v>169</v>
      </c>
      <c r="F68" s="68" t="s">
        <v>375</v>
      </c>
      <c r="G68" s="68" t="s">
        <v>392</v>
      </c>
      <c r="H68" s="67" t="s">
        <v>48</v>
      </c>
      <c r="I68" s="68"/>
      <c r="J68" s="68" t="s">
        <v>391</v>
      </c>
      <c r="K68" s="68" t="s">
        <v>378</v>
      </c>
      <c r="L68" s="67"/>
      <c r="M68" s="67"/>
      <c r="N68" s="104" t="str">
        <f t="shared" si="6"/>
        <v>Standard</v>
      </c>
      <c r="O68" s="104" t="str">
        <f t="shared" si="7"/>
        <v>NO</v>
      </c>
      <c r="P68" s="104" t="str">
        <f t="shared" si="8"/>
        <v>NO</v>
      </c>
      <c r="R68" s="69" t="s">
        <v>428</v>
      </c>
    </row>
    <row r="69" spans="1:18" s="69" customFormat="1" ht="60.75" hidden="1">
      <c r="A69" s="67">
        <v>67</v>
      </c>
      <c r="B69" s="68" t="s">
        <v>15</v>
      </c>
      <c r="C69" s="68" t="s">
        <v>35</v>
      </c>
      <c r="D69" s="68" t="s">
        <v>168</v>
      </c>
      <c r="E69" s="112" t="s">
        <v>170</v>
      </c>
      <c r="F69" s="68" t="s">
        <v>385</v>
      </c>
      <c r="G69" s="68" t="s">
        <v>375</v>
      </c>
      <c r="H69" s="67" t="s">
        <v>48</v>
      </c>
      <c r="I69" s="68"/>
      <c r="J69" s="68" t="s">
        <v>391</v>
      </c>
      <c r="K69" s="68" t="s">
        <v>380</v>
      </c>
      <c r="L69" s="67"/>
      <c r="M69" s="67"/>
      <c r="N69" s="104" t="str">
        <f t="shared" si="6"/>
        <v>Standard</v>
      </c>
      <c r="O69" s="104" t="str">
        <f t="shared" si="7"/>
        <v>NO</v>
      </c>
      <c r="P69" s="104" t="str">
        <f t="shared" si="8"/>
        <v>NO</v>
      </c>
      <c r="R69" s="69" t="s">
        <v>428</v>
      </c>
    </row>
    <row r="70" spans="1:18" s="69" customFormat="1" ht="101.25" hidden="1">
      <c r="A70" s="67">
        <v>68</v>
      </c>
      <c r="B70" s="68" t="s">
        <v>15</v>
      </c>
      <c r="C70" s="68" t="s">
        <v>35</v>
      </c>
      <c r="D70" s="68" t="s">
        <v>171</v>
      </c>
      <c r="E70" s="112" t="s">
        <v>172</v>
      </c>
      <c r="F70" s="68" t="s">
        <v>385</v>
      </c>
      <c r="G70" s="68" t="s">
        <v>375</v>
      </c>
      <c r="H70" s="67" t="s">
        <v>48</v>
      </c>
      <c r="I70" s="68"/>
      <c r="J70" s="68" t="s">
        <v>391</v>
      </c>
      <c r="K70" s="68" t="s">
        <v>380</v>
      </c>
      <c r="L70" s="67"/>
      <c r="M70" s="67"/>
      <c r="N70" s="104" t="str">
        <f t="shared" si="6"/>
        <v>Standard</v>
      </c>
      <c r="O70" s="104" t="str">
        <f t="shared" si="7"/>
        <v>NO</v>
      </c>
      <c r="P70" s="104" t="str">
        <f t="shared" si="8"/>
        <v>NO</v>
      </c>
      <c r="R70" s="69" t="s">
        <v>428</v>
      </c>
    </row>
    <row r="71" spans="1:18" s="69" customFormat="1" ht="81" hidden="1">
      <c r="A71" s="67">
        <v>69</v>
      </c>
      <c r="B71" s="68" t="s">
        <v>15</v>
      </c>
      <c r="C71" s="68" t="s">
        <v>35</v>
      </c>
      <c r="D71" s="68" t="s">
        <v>171</v>
      </c>
      <c r="E71" s="112" t="s">
        <v>173</v>
      </c>
      <c r="F71" s="68" t="s">
        <v>385</v>
      </c>
      <c r="G71" s="68" t="s">
        <v>375</v>
      </c>
      <c r="H71" s="67" t="s">
        <v>48</v>
      </c>
      <c r="I71" s="68"/>
      <c r="J71" s="68" t="s">
        <v>391</v>
      </c>
      <c r="K71" s="68" t="s">
        <v>380</v>
      </c>
      <c r="L71" s="67"/>
      <c r="M71" s="67"/>
      <c r="N71" s="104" t="str">
        <f t="shared" si="6"/>
        <v>Standard</v>
      </c>
      <c r="O71" s="104" t="str">
        <f t="shared" si="7"/>
        <v>NO</v>
      </c>
      <c r="P71" s="104" t="str">
        <f t="shared" si="8"/>
        <v>NO</v>
      </c>
      <c r="R71" s="69" t="s">
        <v>428</v>
      </c>
    </row>
    <row r="72" spans="1:18" s="69" customFormat="1" ht="81" hidden="1">
      <c r="A72" s="67">
        <v>70</v>
      </c>
      <c r="B72" s="68" t="s">
        <v>15</v>
      </c>
      <c r="C72" s="68" t="s">
        <v>36</v>
      </c>
      <c r="D72" s="68" t="s">
        <v>174</v>
      </c>
      <c r="E72" s="112" t="s">
        <v>175</v>
      </c>
      <c r="F72" s="68" t="s">
        <v>385</v>
      </c>
      <c r="G72" s="68" t="s">
        <v>375</v>
      </c>
      <c r="H72" s="67" t="s">
        <v>48</v>
      </c>
      <c r="I72" s="68"/>
      <c r="J72" s="68" t="s">
        <v>434</v>
      </c>
      <c r="K72" s="68" t="s">
        <v>380</v>
      </c>
      <c r="L72" s="67"/>
      <c r="M72" s="67"/>
      <c r="N72" s="104" t="str">
        <f t="shared" si="6"/>
        <v>Standard</v>
      </c>
      <c r="O72" s="104" t="str">
        <f t="shared" si="7"/>
        <v>NO</v>
      </c>
      <c r="P72" s="104" t="str">
        <f t="shared" si="8"/>
        <v>NO</v>
      </c>
    </row>
    <row r="73" spans="1:18" s="69" customFormat="1" ht="81" hidden="1">
      <c r="A73" s="67">
        <v>71</v>
      </c>
      <c r="B73" s="68" t="s">
        <v>15</v>
      </c>
      <c r="C73" s="68" t="s">
        <v>36</v>
      </c>
      <c r="D73" s="68" t="s">
        <v>174</v>
      </c>
      <c r="E73" s="112" t="s">
        <v>176</v>
      </c>
      <c r="F73" s="68" t="s">
        <v>385</v>
      </c>
      <c r="G73" s="68" t="s">
        <v>375</v>
      </c>
      <c r="H73" s="67" t="s">
        <v>48</v>
      </c>
      <c r="I73" s="68"/>
      <c r="J73" s="68" t="s">
        <v>434</v>
      </c>
      <c r="K73" s="68" t="s">
        <v>380</v>
      </c>
      <c r="L73" s="67"/>
      <c r="M73" s="67"/>
      <c r="N73" s="104" t="str">
        <f t="shared" si="6"/>
        <v>Standard</v>
      </c>
      <c r="O73" s="104" t="str">
        <f t="shared" si="7"/>
        <v>NO</v>
      </c>
      <c r="P73" s="104" t="str">
        <f t="shared" si="8"/>
        <v>NO</v>
      </c>
    </row>
    <row r="74" spans="1:18" s="69" customFormat="1" ht="81" hidden="1">
      <c r="A74" s="67">
        <v>72</v>
      </c>
      <c r="B74" s="68" t="s">
        <v>15</v>
      </c>
      <c r="C74" s="68" t="s">
        <v>36</v>
      </c>
      <c r="D74" s="68" t="s">
        <v>174</v>
      </c>
      <c r="E74" s="112" t="s">
        <v>177</v>
      </c>
      <c r="F74" s="68" t="s">
        <v>385</v>
      </c>
      <c r="G74" s="68" t="s">
        <v>375</v>
      </c>
      <c r="H74" s="67" t="s">
        <v>48</v>
      </c>
      <c r="I74" s="68"/>
      <c r="J74" s="68" t="s">
        <v>433</v>
      </c>
      <c r="K74" s="68" t="s">
        <v>380</v>
      </c>
      <c r="L74" s="67"/>
      <c r="M74" s="67"/>
      <c r="N74" s="104" t="str">
        <f t="shared" si="6"/>
        <v>Standard</v>
      </c>
      <c r="O74" s="104" t="str">
        <f t="shared" si="7"/>
        <v>NO</v>
      </c>
      <c r="P74" s="104" t="str">
        <f t="shared" si="8"/>
        <v>NO</v>
      </c>
    </row>
    <row r="75" spans="1:18" s="69" customFormat="1" ht="81" hidden="1">
      <c r="A75" s="67">
        <v>73</v>
      </c>
      <c r="B75" s="68" t="s">
        <v>15</v>
      </c>
      <c r="C75" s="68" t="s">
        <v>36</v>
      </c>
      <c r="D75" s="68" t="s">
        <v>178</v>
      </c>
      <c r="E75" s="112" t="s">
        <v>179</v>
      </c>
      <c r="F75" s="68" t="s">
        <v>385</v>
      </c>
      <c r="G75" s="68" t="s">
        <v>375</v>
      </c>
      <c r="H75" s="67" t="s">
        <v>48</v>
      </c>
      <c r="I75" s="68"/>
      <c r="J75" s="68" t="s">
        <v>433</v>
      </c>
      <c r="K75" s="68" t="s">
        <v>380</v>
      </c>
      <c r="L75" s="67"/>
      <c r="M75" s="67"/>
      <c r="N75" s="104" t="str">
        <f t="shared" si="6"/>
        <v>Standard</v>
      </c>
      <c r="O75" s="104" t="str">
        <f t="shared" si="7"/>
        <v>NO</v>
      </c>
      <c r="P75" s="104" t="str">
        <f t="shared" si="8"/>
        <v>NO</v>
      </c>
    </row>
    <row r="76" spans="1:18" s="69" customFormat="1" ht="81" hidden="1">
      <c r="A76" s="67">
        <v>74</v>
      </c>
      <c r="B76" s="68" t="s">
        <v>17</v>
      </c>
      <c r="C76" s="68" t="s">
        <v>21</v>
      </c>
      <c r="D76" s="68" t="s">
        <v>180</v>
      </c>
      <c r="E76" s="112" t="s">
        <v>181</v>
      </c>
      <c r="F76" s="68" t="s">
        <v>375</v>
      </c>
      <c r="G76" s="68" t="s">
        <v>392</v>
      </c>
      <c r="H76" s="67" t="s">
        <v>48</v>
      </c>
      <c r="I76" s="68"/>
      <c r="J76" s="68" t="s">
        <v>432</v>
      </c>
      <c r="K76" s="68" t="s">
        <v>385</v>
      </c>
      <c r="L76" s="67"/>
      <c r="M76" s="67"/>
      <c r="N76" s="104" t="str">
        <f t="shared" si="6"/>
        <v>Beyond</v>
      </c>
      <c r="O76" s="104" t="str">
        <f t="shared" si="7"/>
        <v>NO</v>
      </c>
      <c r="P76" s="104" t="str">
        <f t="shared" si="8"/>
        <v>NO</v>
      </c>
    </row>
    <row r="77" spans="1:18" s="69" customFormat="1" ht="409.5" hidden="1">
      <c r="A77" s="67">
        <v>75</v>
      </c>
      <c r="B77" s="68" t="s">
        <v>15</v>
      </c>
      <c r="C77" s="68" t="s">
        <v>36</v>
      </c>
      <c r="D77" s="68" t="s">
        <v>174</v>
      </c>
      <c r="E77" s="115" t="s">
        <v>182</v>
      </c>
      <c r="F77" s="68" t="s">
        <v>385</v>
      </c>
      <c r="G77" s="68" t="s">
        <v>375</v>
      </c>
      <c r="H77" s="67" t="s">
        <v>48</v>
      </c>
      <c r="I77" s="120"/>
      <c r="J77" s="68" t="s">
        <v>431</v>
      </c>
      <c r="K77" s="68" t="s">
        <v>380</v>
      </c>
      <c r="L77" s="67"/>
      <c r="M77" s="67"/>
      <c r="N77" s="104" t="str">
        <f t="shared" si="6"/>
        <v>Standard</v>
      </c>
      <c r="O77" s="104" t="str">
        <f t="shared" si="7"/>
        <v>NO</v>
      </c>
      <c r="P77" s="104" t="str">
        <f t="shared" si="8"/>
        <v>NO</v>
      </c>
    </row>
    <row r="78" spans="1:18">
      <c r="A78" s="67"/>
      <c r="B78" s="68" t="s">
        <v>8</v>
      </c>
      <c r="C78" s="68"/>
      <c r="D78" s="68"/>
      <c r="E78" s="112"/>
      <c r="F78" s="68"/>
      <c r="G78" s="68"/>
      <c r="H78" s="67"/>
      <c r="I78" s="68"/>
      <c r="J78" s="68"/>
      <c r="K78" s="68"/>
      <c r="L78" s="65"/>
      <c r="N78" s="61"/>
      <c r="O78" s="61"/>
      <c r="P78" s="61"/>
    </row>
    <row r="80" spans="1:18">
      <c r="E80" s="116"/>
      <c r="F80" s="121"/>
      <c r="G80" s="121"/>
      <c r="I80" s="121"/>
      <c r="J80" s="121"/>
      <c r="K80" s="121"/>
    </row>
    <row r="81" spans="5:11">
      <c r="E81" s="118"/>
      <c r="F81" s="122"/>
      <c r="G81" s="122"/>
      <c r="I81" s="122"/>
      <c r="J81" s="122"/>
      <c r="K81" s="122"/>
    </row>
    <row r="82" spans="5:11">
      <c r="E82" s="118"/>
      <c r="F82" s="122"/>
      <c r="G82" s="122"/>
      <c r="I82" s="122"/>
      <c r="J82" s="122"/>
      <c r="K82" s="122"/>
    </row>
    <row r="83" spans="5:11">
      <c r="E83" s="116"/>
      <c r="F83" s="121"/>
      <c r="G83" s="121"/>
      <c r="I83" s="121"/>
      <c r="J83" s="121"/>
      <c r="K83" s="121"/>
    </row>
  </sheetData>
  <conditionalFormatting sqref="H3:H77">
    <cfRule type="cellIs" dxfId="6" priority="1" operator="equal">
      <formula>"NO"</formula>
    </cfRule>
    <cfRule type="cellIs" dxfId="5" priority="2" operator="equal">
      <formula>"YES"</formula>
    </cfRule>
  </conditionalFormatting>
  <pageMargins left="0.7" right="0.7" top="0.75" bottom="0.75" header="0.3" footer="0.3"/>
  <pageSetup scale="21" fitToHeight="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945E6D2-E3FA-41FE-836A-E6EDF1BB8BB3}">
          <x14:formula1>
            <xm:f>'Data sheet'!$C$72:$C$74</xm:f>
          </x14:formula1>
          <xm:sqref>H3:H77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A1:D44"/>
  <sheetViews>
    <sheetView showGridLines="0" topLeftCell="A34" zoomScale="328" zoomScaleNormal="328" zoomScaleSheetLayoutView="73" zoomScalePageLayoutView="61" workbookViewId="0">
      <selection activeCell="C33" sqref="C33"/>
    </sheetView>
  </sheetViews>
  <sheetFormatPr defaultColWidth="8.7109375" defaultRowHeight="12"/>
  <cols>
    <col min="1" max="1" width="3.42578125" style="5" customWidth="1"/>
    <col min="2" max="2" width="10.7109375" style="5" customWidth="1"/>
    <col min="3" max="3" width="109.28515625" style="32" customWidth="1"/>
    <col min="4" max="4" width="8.28515625" style="5" hidden="1" customWidth="1"/>
    <col min="5" max="16384" width="8.7109375" style="32"/>
  </cols>
  <sheetData>
    <row r="1" spans="1:4" ht="16.149999999999999" customHeight="1">
      <c r="A1" s="152" t="s">
        <v>40</v>
      </c>
      <c r="B1" s="153"/>
      <c r="C1" s="77" t="s">
        <v>417</v>
      </c>
      <c r="D1" s="78"/>
    </row>
    <row r="2" spans="1:4" ht="16.149999999999999" customHeight="1">
      <c r="A2" s="79">
        <v>1</v>
      </c>
      <c r="B2" s="80" t="s">
        <v>51</v>
      </c>
      <c r="C2" s="81" t="s">
        <v>183</v>
      </c>
      <c r="D2" s="78"/>
    </row>
    <row r="3" spans="1:4" ht="16.149999999999999" customHeight="1">
      <c r="A3" s="79">
        <v>2</v>
      </c>
      <c r="B3" s="80" t="s">
        <v>48</v>
      </c>
      <c r="C3" s="81" t="s">
        <v>184</v>
      </c>
      <c r="D3" s="78"/>
    </row>
    <row r="4" spans="1:4" ht="19.149999999999999" customHeight="1">
      <c r="A4" s="79">
        <v>3</v>
      </c>
      <c r="B4" s="80" t="s">
        <v>48</v>
      </c>
      <c r="C4" s="81" t="s">
        <v>185</v>
      </c>
      <c r="D4" s="82" t="s">
        <v>186</v>
      </c>
    </row>
    <row r="5" spans="1:4" ht="16.149999999999999" customHeight="1">
      <c r="A5" s="79">
        <v>4</v>
      </c>
      <c r="B5" s="80" t="s">
        <v>48</v>
      </c>
      <c r="C5" s="81" t="s">
        <v>187</v>
      </c>
      <c r="D5" s="78"/>
    </row>
    <row r="6" spans="1:4" ht="16.149999999999999" customHeight="1">
      <c r="A6" s="79">
        <v>5</v>
      </c>
      <c r="B6" s="80" t="s">
        <v>48</v>
      </c>
      <c r="C6" s="81" t="s">
        <v>188</v>
      </c>
      <c r="D6" s="78"/>
    </row>
    <row r="7" spans="1:4" ht="16.149999999999999" customHeight="1">
      <c r="A7" s="79">
        <v>6</v>
      </c>
      <c r="B7" s="80" t="s">
        <v>48</v>
      </c>
      <c r="C7" s="81" t="s">
        <v>189</v>
      </c>
      <c r="D7" s="154" t="s">
        <v>186</v>
      </c>
    </row>
    <row r="8" spans="1:4" ht="16.149999999999999" customHeight="1">
      <c r="A8" s="79">
        <v>7</v>
      </c>
      <c r="B8" s="80" t="s">
        <v>48</v>
      </c>
      <c r="C8" s="81" t="s">
        <v>190</v>
      </c>
      <c r="D8" s="154"/>
    </row>
    <row r="9" spans="1:4" ht="16.149999999999999" customHeight="1">
      <c r="A9" s="79">
        <v>8</v>
      </c>
      <c r="B9" s="80" t="s">
        <v>48</v>
      </c>
      <c r="C9" s="81" t="s">
        <v>191</v>
      </c>
      <c r="D9" s="154"/>
    </row>
    <row r="10" spans="1:4" ht="16.149999999999999" customHeight="1">
      <c r="A10" s="79">
        <v>9</v>
      </c>
      <c r="B10" s="80" t="s">
        <v>48</v>
      </c>
      <c r="C10" s="81" t="s">
        <v>192</v>
      </c>
      <c r="D10" s="82"/>
    </row>
    <row r="11" spans="1:4" ht="16.149999999999999" customHeight="1">
      <c r="A11" s="155" t="s">
        <v>40</v>
      </c>
      <c r="B11" s="156"/>
      <c r="C11" s="83" t="s">
        <v>418</v>
      </c>
      <c r="D11" s="78"/>
    </row>
    <row r="12" spans="1:4" ht="18" customHeight="1">
      <c r="A12" s="79">
        <v>1</v>
      </c>
      <c r="B12" s="80" t="s">
        <v>51</v>
      </c>
      <c r="C12" s="84" t="s">
        <v>193</v>
      </c>
      <c r="D12" s="78"/>
    </row>
    <row r="13" spans="1:4" ht="16.149999999999999" customHeight="1">
      <c r="A13" s="79">
        <v>2</v>
      </c>
      <c r="B13" s="80" t="s">
        <v>48</v>
      </c>
      <c r="C13" s="81" t="s">
        <v>194</v>
      </c>
      <c r="D13" s="78"/>
    </row>
    <row r="14" spans="1:4" ht="16.149999999999999" customHeight="1">
      <c r="A14" s="79">
        <v>3</v>
      </c>
      <c r="B14" s="80" t="s">
        <v>48</v>
      </c>
      <c r="C14" s="81" t="s">
        <v>195</v>
      </c>
      <c r="D14" s="78"/>
    </row>
    <row r="15" spans="1:4" ht="16.149999999999999" customHeight="1">
      <c r="A15" s="79">
        <v>4</v>
      </c>
      <c r="B15" s="80" t="s">
        <v>48</v>
      </c>
      <c r="C15" s="81" t="s">
        <v>196</v>
      </c>
      <c r="D15" s="78"/>
    </row>
    <row r="16" spans="1:4" ht="16.149999999999999" customHeight="1">
      <c r="A16" s="79">
        <v>5</v>
      </c>
      <c r="B16" s="80" t="s">
        <v>48</v>
      </c>
      <c r="C16" s="81" t="s">
        <v>197</v>
      </c>
      <c r="D16" s="78"/>
    </row>
    <row r="17" spans="1:4" ht="16.149999999999999" customHeight="1">
      <c r="A17" s="79">
        <v>6</v>
      </c>
      <c r="B17" s="80" t="s">
        <v>48</v>
      </c>
      <c r="C17" s="81" t="s">
        <v>198</v>
      </c>
      <c r="D17" s="78"/>
    </row>
    <row r="18" spans="1:4" ht="16.149999999999999" customHeight="1">
      <c r="A18" s="79">
        <v>7</v>
      </c>
      <c r="B18" s="80" t="s">
        <v>48</v>
      </c>
      <c r="C18" s="81" t="s">
        <v>199</v>
      </c>
      <c r="D18" s="78"/>
    </row>
    <row r="19" spans="1:4" ht="16.149999999999999" customHeight="1">
      <c r="A19" s="79">
        <v>8</v>
      </c>
      <c r="B19" s="80" t="s">
        <v>48</v>
      </c>
      <c r="C19" s="81" t="s">
        <v>200</v>
      </c>
      <c r="D19" s="78"/>
    </row>
    <row r="20" spans="1:4" ht="16.149999999999999" customHeight="1">
      <c r="A20" s="79">
        <v>9</v>
      </c>
      <c r="B20" s="80" t="s">
        <v>48</v>
      </c>
      <c r="C20" s="81" t="s">
        <v>201</v>
      </c>
      <c r="D20" s="78"/>
    </row>
    <row r="21" spans="1:4" ht="16.149999999999999" customHeight="1">
      <c r="A21" s="79">
        <v>10</v>
      </c>
      <c r="B21" s="80" t="s">
        <v>48</v>
      </c>
      <c r="C21" s="81" t="s">
        <v>202</v>
      </c>
      <c r="D21" s="78"/>
    </row>
    <row r="22" spans="1:4" ht="16.149999999999999" customHeight="1">
      <c r="A22" s="79">
        <v>11</v>
      </c>
      <c r="B22" s="80" t="s">
        <v>48</v>
      </c>
      <c r="C22" s="81" t="s">
        <v>203</v>
      </c>
      <c r="D22" s="78"/>
    </row>
    <row r="23" spans="1:4" ht="16.149999999999999" customHeight="1">
      <c r="A23" s="79">
        <v>12</v>
      </c>
      <c r="B23" s="80" t="s">
        <v>48</v>
      </c>
      <c r="C23" s="84" t="s">
        <v>204</v>
      </c>
      <c r="D23" s="78"/>
    </row>
    <row r="24" spans="1:4" ht="16.149999999999999" customHeight="1">
      <c r="A24" s="155" t="s">
        <v>40</v>
      </c>
      <c r="B24" s="156"/>
      <c r="C24" s="83" t="s">
        <v>419</v>
      </c>
      <c r="D24" s="78"/>
    </row>
    <row r="25" spans="1:4" ht="16.149999999999999" customHeight="1">
      <c r="A25" s="79">
        <v>1</v>
      </c>
      <c r="B25" s="80" t="s">
        <v>48</v>
      </c>
      <c r="C25" s="81" t="s">
        <v>205</v>
      </c>
      <c r="D25" s="78"/>
    </row>
    <row r="26" spans="1:4" ht="16.149999999999999" customHeight="1">
      <c r="A26" s="79">
        <v>2</v>
      </c>
      <c r="B26" s="80" t="s">
        <v>48</v>
      </c>
      <c r="C26" s="81" t="s">
        <v>206</v>
      </c>
      <c r="D26" s="78"/>
    </row>
    <row r="27" spans="1:4" ht="16.149999999999999" customHeight="1">
      <c r="A27" s="79">
        <v>3</v>
      </c>
      <c r="B27" s="80" t="s">
        <v>48</v>
      </c>
      <c r="C27" s="85" t="s">
        <v>207</v>
      </c>
      <c r="D27" s="78"/>
    </row>
    <row r="28" spans="1:4" ht="16.149999999999999" customHeight="1">
      <c r="A28" s="155" t="s">
        <v>40</v>
      </c>
      <c r="B28" s="156"/>
      <c r="C28" s="83" t="s">
        <v>420</v>
      </c>
      <c r="D28" s="78"/>
    </row>
    <row r="29" spans="1:4" ht="16.149999999999999" customHeight="1">
      <c r="A29" s="79">
        <v>1</v>
      </c>
      <c r="B29" s="80" t="s">
        <v>48</v>
      </c>
      <c r="C29" s="86" t="s">
        <v>208</v>
      </c>
      <c r="D29" s="78"/>
    </row>
    <row r="30" spans="1:4" ht="16.149999999999999" customHeight="1">
      <c r="A30" s="79">
        <v>2</v>
      </c>
      <c r="B30" s="80" t="s">
        <v>48</v>
      </c>
      <c r="C30" s="86" t="s">
        <v>209</v>
      </c>
      <c r="D30" s="78"/>
    </row>
    <row r="31" spans="1:4" ht="16.149999999999999" customHeight="1">
      <c r="A31" s="79">
        <v>3</v>
      </c>
      <c r="B31" s="80" t="s">
        <v>48</v>
      </c>
      <c r="C31" s="86" t="s">
        <v>210</v>
      </c>
      <c r="D31" s="78"/>
    </row>
    <row r="32" spans="1:4" ht="16.149999999999999" customHeight="1">
      <c r="A32" s="79">
        <v>4</v>
      </c>
      <c r="B32" s="80" t="s">
        <v>48</v>
      </c>
      <c r="C32" s="86" t="s">
        <v>211</v>
      </c>
      <c r="D32" s="78"/>
    </row>
    <row r="33" spans="1:4" ht="16.149999999999999" customHeight="1">
      <c r="A33" s="155" t="s">
        <v>40</v>
      </c>
      <c r="B33" s="156"/>
      <c r="C33" s="83" t="s">
        <v>421</v>
      </c>
      <c r="D33" s="78"/>
    </row>
    <row r="34" spans="1:4" ht="16.149999999999999" customHeight="1">
      <c r="A34" s="79">
        <v>1</v>
      </c>
      <c r="B34" s="80" t="s">
        <v>48</v>
      </c>
      <c r="C34" s="81" t="s">
        <v>212</v>
      </c>
      <c r="D34" s="82" t="s">
        <v>186</v>
      </c>
    </row>
    <row r="35" spans="1:4" ht="16.149999999999999" customHeight="1">
      <c r="A35" s="79">
        <v>2</v>
      </c>
      <c r="B35" s="80" t="s">
        <v>48</v>
      </c>
      <c r="C35" s="81" t="s">
        <v>213</v>
      </c>
      <c r="D35" s="82" t="s">
        <v>186</v>
      </c>
    </row>
    <row r="36" spans="1:4" ht="16.149999999999999" customHeight="1">
      <c r="A36" s="79">
        <v>3</v>
      </c>
      <c r="B36" s="80" t="s">
        <v>48</v>
      </c>
      <c r="C36" s="81" t="s">
        <v>192</v>
      </c>
      <c r="D36" s="82"/>
    </row>
    <row r="37" spans="1:4" ht="16.149999999999999" customHeight="1">
      <c r="A37" s="79">
        <v>4</v>
      </c>
      <c r="B37" s="80" t="s">
        <v>48</v>
      </c>
      <c r="C37" s="81" t="s">
        <v>214</v>
      </c>
      <c r="D37" s="78"/>
    </row>
    <row r="38" spans="1:4" ht="16.149999999999999" customHeight="1">
      <c r="A38" s="79">
        <v>5</v>
      </c>
      <c r="B38" s="80" t="s">
        <v>48</v>
      </c>
      <c r="C38" s="81" t="s">
        <v>215</v>
      </c>
      <c r="D38" s="82" t="s">
        <v>186</v>
      </c>
    </row>
    <row r="39" spans="1:4" ht="16.149999999999999" customHeight="1">
      <c r="A39" s="79">
        <v>6</v>
      </c>
      <c r="B39" s="80" t="s">
        <v>48</v>
      </c>
      <c r="C39" s="81" t="s">
        <v>216</v>
      </c>
      <c r="D39" s="78"/>
    </row>
    <row r="40" spans="1:4" ht="16.149999999999999" customHeight="1">
      <c r="A40" s="79">
        <v>7</v>
      </c>
      <c r="B40" s="80" t="s">
        <v>48</v>
      </c>
      <c r="C40" s="81" t="s">
        <v>217</v>
      </c>
      <c r="D40" s="78"/>
    </row>
    <row r="41" spans="1:4" ht="16.149999999999999" customHeight="1">
      <c r="A41" s="79">
        <v>8</v>
      </c>
      <c r="B41" s="80" t="s">
        <v>48</v>
      </c>
      <c r="C41" s="81" t="s">
        <v>218</v>
      </c>
      <c r="D41" s="82" t="s">
        <v>186</v>
      </c>
    </row>
    <row r="42" spans="1:4" ht="16.149999999999999" customHeight="1">
      <c r="A42" s="79">
        <v>9</v>
      </c>
      <c r="B42" s="80" t="s">
        <v>48</v>
      </c>
      <c r="C42" s="81" t="s">
        <v>219</v>
      </c>
      <c r="D42" s="82" t="s">
        <v>186</v>
      </c>
    </row>
    <row r="43" spans="1:4" ht="24.75" customHeight="1">
      <c r="A43" s="79">
        <v>10</v>
      </c>
      <c r="B43" s="80" t="s">
        <v>48</v>
      </c>
      <c r="C43" s="87" t="s">
        <v>220</v>
      </c>
      <c r="D43" s="82"/>
    </row>
    <row r="44" spans="1:4" ht="24.75" customHeight="1" thickBot="1">
      <c r="A44" s="88">
        <v>11</v>
      </c>
      <c r="B44" s="89" t="s">
        <v>48</v>
      </c>
      <c r="C44" s="90" t="s">
        <v>221</v>
      </c>
      <c r="D44" s="82"/>
    </row>
  </sheetData>
  <mergeCells count="6">
    <mergeCell ref="A1:B1"/>
    <mergeCell ref="D7:D9"/>
    <mergeCell ref="A33:B33"/>
    <mergeCell ref="A28:B28"/>
    <mergeCell ref="A24:B24"/>
    <mergeCell ref="A11:B11"/>
  </mergeCells>
  <conditionalFormatting sqref="B1:B1048576">
    <cfRule type="cellIs" dxfId="4" priority="1" operator="equal">
      <formula>"Yes"</formula>
    </cfRule>
  </conditionalFormatting>
  <conditionalFormatting sqref="B2:B10 B12:B23 B25:B27 B29:B32 B34:B44">
    <cfRule type="cellIs" dxfId="3" priority="2" operator="equal">
      <formula>"No"</formula>
    </cfRule>
  </conditionalFormatting>
  <dataValidations count="1">
    <dataValidation type="list" allowBlank="1" showInputMessage="1" showErrorMessage="1" sqref="B12:B23 B25:B27 B2:B10 B29:B32 B34:B44" xr:uid="{6BC71BEC-81EC-43B4-894C-9BF27A1E0D2D}">
      <formula1>"YES, NO"</formula1>
    </dataValidation>
  </dataValidations>
  <pageMargins left="0.7" right="0.7" top="0.66240942028985506" bottom="0.80389492753623193" header="0.3" footer="0.3"/>
  <pageSetup scale="74" orientation="portrait" r:id="rId1"/>
  <headerFooter>
    <oddHeader>&amp;L&amp;"MMC OFFICE,Bold"&amp;25Subform</oddHeader>
  </headerFooter>
  <colBreaks count="1" manualBreakCount="1">
    <brk id="3" max="1048575" man="1"/>
  </colBreaks>
  <extLst>
    <ext xmlns:x14="http://schemas.microsoft.com/office/spreadsheetml/2009/9/main" uri="{78C0D931-6437-407d-A8EE-F0AAD7539E65}">
      <x14:conditionalFormattings>
        <x14:conditionalFormatting xmlns:xm="http://schemas.microsoft.com/office/excel/2006/main">
          <x14:cfRule type="containsText" priority="5" operator="containsText" id="{870A2644-9D8F-43D5-85C0-46CE7C950410}">
            <xm:f>NOT(ISERROR(SEARCH("No",B2)))</xm:f>
            <xm:f>"No"</xm:f>
            <x14:dxf>
              <font>
                <color theme="0"/>
              </font>
              <fill>
                <patternFill>
                  <bgColor rgb="FFFF0000"/>
                </patternFill>
              </fill>
            </x14:dxf>
          </x14:cfRule>
          <xm:sqref>B2:B10 B12:B23 B25:B27 B29:B32 B34:B44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pageSetUpPr fitToPage="1"/>
  </sheetPr>
  <dimension ref="A1:F23"/>
  <sheetViews>
    <sheetView showGridLines="0" topLeftCell="C1" zoomScale="50" zoomScaleNormal="65" zoomScalePageLayoutView="31" workbookViewId="0">
      <selection activeCell="D23" sqref="D23"/>
    </sheetView>
  </sheetViews>
  <sheetFormatPr defaultColWidth="8.7109375" defaultRowHeight="14.25"/>
  <cols>
    <col min="1" max="1" width="8.7109375" style="103"/>
    <col min="2" max="2" width="49.7109375" style="103" customWidth="1"/>
    <col min="3" max="3" width="110.7109375" style="103" customWidth="1"/>
    <col min="4" max="6" width="24.42578125" style="103" customWidth="1"/>
    <col min="7" max="19" width="14.28515625" style="103" customWidth="1"/>
    <col min="20" max="20" width="17.7109375" style="103" customWidth="1"/>
    <col min="21" max="16384" width="8.7109375" style="103"/>
  </cols>
  <sheetData>
    <row r="1" spans="1:6" s="92" customFormat="1" ht="44.65" customHeight="1">
      <c r="A1" s="157" t="s">
        <v>6</v>
      </c>
      <c r="B1" s="159" t="s">
        <v>222</v>
      </c>
      <c r="C1" s="91" t="s">
        <v>223</v>
      </c>
      <c r="D1" s="107">
        <v>1</v>
      </c>
      <c r="E1" s="108">
        <v>2</v>
      </c>
      <c r="F1" s="109">
        <v>3</v>
      </c>
    </row>
    <row r="2" spans="1:6" s="95" customFormat="1" ht="56.65" customHeight="1">
      <c r="A2" s="158"/>
      <c r="B2" s="160"/>
      <c r="C2" s="93" t="s">
        <v>224</v>
      </c>
      <c r="D2" s="94"/>
      <c r="E2" s="94"/>
      <c r="F2" s="94"/>
    </row>
    <row r="3" spans="1:6" s="95" customFormat="1" ht="30" customHeight="1">
      <c r="A3" s="158"/>
      <c r="B3" s="160"/>
      <c r="C3" s="93" t="s">
        <v>225</v>
      </c>
      <c r="D3" s="96"/>
      <c r="E3" s="97"/>
      <c r="F3" s="94"/>
    </row>
    <row r="4" spans="1:6" s="95" customFormat="1" ht="30" customHeight="1">
      <c r="A4" s="161">
        <v>1</v>
      </c>
      <c r="B4" s="163" t="s">
        <v>226</v>
      </c>
      <c r="C4" s="93" t="s">
        <v>227</v>
      </c>
      <c r="D4" s="96" t="s">
        <v>51</v>
      </c>
      <c r="E4" s="94" t="s">
        <v>48</v>
      </c>
      <c r="F4" s="94" t="s">
        <v>48</v>
      </c>
    </row>
    <row r="5" spans="1:6" s="95" customFormat="1" ht="30" customHeight="1">
      <c r="A5" s="161"/>
      <c r="B5" s="163"/>
      <c r="C5" s="93" t="s">
        <v>228</v>
      </c>
      <c r="D5" s="96" t="s">
        <v>48</v>
      </c>
      <c r="E5" s="94" t="s">
        <v>48</v>
      </c>
      <c r="F5" s="94" t="s">
        <v>48</v>
      </c>
    </row>
    <row r="6" spans="1:6" s="95" customFormat="1" ht="30" customHeight="1">
      <c r="A6" s="161"/>
      <c r="B6" s="163"/>
      <c r="C6" s="93" t="s">
        <v>229</v>
      </c>
      <c r="D6" s="96" t="s">
        <v>48</v>
      </c>
      <c r="E6" s="94" t="s">
        <v>48</v>
      </c>
      <c r="F6" s="94" t="s">
        <v>48</v>
      </c>
    </row>
    <row r="7" spans="1:6" s="98" customFormat="1" ht="30" customHeight="1">
      <c r="A7" s="161"/>
      <c r="B7" s="163"/>
      <c r="C7" s="93" t="s">
        <v>230</v>
      </c>
      <c r="D7" s="96" t="s">
        <v>48</v>
      </c>
      <c r="E7" s="94" t="s">
        <v>48</v>
      </c>
      <c r="F7" s="94" t="s">
        <v>48</v>
      </c>
    </row>
    <row r="8" spans="1:6" s="98" customFormat="1" ht="30" customHeight="1">
      <c r="A8" s="161"/>
      <c r="B8" s="163"/>
      <c r="C8" s="93" t="s">
        <v>231</v>
      </c>
      <c r="D8" s="96" t="s">
        <v>48</v>
      </c>
      <c r="E8" s="94" t="s">
        <v>48</v>
      </c>
      <c r="F8" s="94" t="s">
        <v>48</v>
      </c>
    </row>
    <row r="9" spans="1:6" s="98" customFormat="1" ht="30" customHeight="1">
      <c r="A9" s="161"/>
      <c r="B9" s="163"/>
      <c r="C9" s="93" t="s">
        <v>232</v>
      </c>
      <c r="D9" s="96" t="s">
        <v>48</v>
      </c>
      <c r="E9" s="94" t="s">
        <v>48</v>
      </c>
      <c r="F9" s="94" t="s">
        <v>48</v>
      </c>
    </row>
    <row r="10" spans="1:6" s="98" customFormat="1" ht="30" customHeight="1">
      <c r="A10" s="161"/>
      <c r="B10" s="163"/>
      <c r="C10" s="99" t="s">
        <v>233</v>
      </c>
      <c r="D10" s="96" t="s">
        <v>48</v>
      </c>
      <c r="E10" s="94" t="s">
        <v>48</v>
      </c>
      <c r="F10" s="94" t="s">
        <v>48</v>
      </c>
    </row>
    <row r="11" spans="1:6" s="98" customFormat="1" ht="30" customHeight="1">
      <c r="A11" s="161"/>
      <c r="B11" s="163"/>
      <c r="C11" s="93" t="s">
        <v>234</v>
      </c>
      <c r="D11" s="96" t="s">
        <v>48</v>
      </c>
      <c r="E11" s="94" t="s">
        <v>48</v>
      </c>
      <c r="F11" s="94" t="s">
        <v>48</v>
      </c>
    </row>
    <row r="12" spans="1:6" s="98" customFormat="1" ht="30" customHeight="1">
      <c r="A12" s="161"/>
      <c r="B12" s="163"/>
      <c r="C12" s="93" t="s">
        <v>235</v>
      </c>
      <c r="D12" s="96" t="s">
        <v>48</v>
      </c>
      <c r="E12" s="94" t="s">
        <v>48</v>
      </c>
      <c r="F12" s="94" t="s">
        <v>48</v>
      </c>
    </row>
    <row r="13" spans="1:6" s="98" customFormat="1" ht="30" customHeight="1">
      <c r="A13" s="161"/>
      <c r="B13" s="163"/>
      <c r="C13" s="93" t="s">
        <v>236</v>
      </c>
      <c r="D13" s="96" t="s">
        <v>48</v>
      </c>
      <c r="E13" s="94" t="s">
        <v>48</v>
      </c>
      <c r="F13" s="94" t="s">
        <v>48</v>
      </c>
    </row>
    <row r="14" spans="1:6" s="98" customFormat="1" ht="30" customHeight="1">
      <c r="A14" s="161"/>
      <c r="B14" s="163"/>
      <c r="C14" s="93" t="s">
        <v>237</v>
      </c>
      <c r="D14" s="96" t="s">
        <v>48</v>
      </c>
      <c r="E14" s="94" t="s">
        <v>48</v>
      </c>
      <c r="F14" s="94" t="s">
        <v>48</v>
      </c>
    </row>
    <row r="15" spans="1:6" s="98" customFormat="1" ht="30" customHeight="1">
      <c r="A15" s="161">
        <v>2</v>
      </c>
      <c r="B15" s="163" t="s">
        <v>238</v>
      </c>
      <c r="C15" s="93" t="s">
        <v>239</v>
      </c>
      <c r="D15" s="96" t="s">
        <v>48</v>
      </c>
      <c r="E15" s="94" t="s">
        <v>48</v>
      </c>
      <c r="F15" s="94" t="s">
        <v>48</v>
      </c>
    </row>
    <row r="16" spans="1:6" s="98" customFormat="1" ht="30" customHeight="1">
      <c r="A16" s="161"/>
      <c r="B16" s="163"/>
      <c r="C16" s="93" t="s">
        <v>240</v>
      </c>
      <c r="D16" s="96" t="s">
        <v>48</v>
      </c>
      <c r="E16" s="94" t="s">
        <v>48</v>
      </c>
      <c r="F16" s="94" t="s">
        <v>48</v>
      </c>
    </row>
    <row r="17" spans="1:6" s="98" customFormat="1" ht="30" customHeight="1">
      <c r="A17" s="161"/>
      <c r="B17" s="163"/>
      <c r="C17" s="93" t="s">
        <v>241</v>
      </c>
      <c r="D17" s="96" t="s">
        <v>48</v>
      </c>
      <c r="E17" s="94" t="s">
        <v>48</v>
      </c>
      <c r="F17" s="94" t="s">
        <v>51</v>
      </c>
    </row>
    <row r="18" spans="1:6" s="98" customFormat="1" ht="30" customHeight="1">
      <c r="A18" s="161">
        <v>3</v>
      </c>
      <c r="B18" s="163" t="s">
        <v>242</v>
      </c>
      <c r="C18" s="93" t="s">
        <v>243</v>
      </c>
      <c r="D18" s="96" t="s">
        <v>48</v>
      </c>
      <c r="E18" s="94" t="s">
        <v>48</v>
      </c>
      <c r="F18" s="94" t="s">
        <v>48</v>
      </c>
    </row>
    <row r="19" spans="1:6" s="98" customFormat="1" ht="30" customHeight="1">
      <c r="A19" s="161"/>
      <c r="B19" s="163"/>
      <c r="C19" s="93" t="s">
        <v>244</v>
      </c>
      <c r="D19" s="96" t="s">
        <v>48</v>
      </c>
      <c r="E19" s="94" t="s">
        <v>48</v>
      </c>
      <c r="F19" s="94" t="s">
        <v>48</v>
      </c>
    </row>
    <row r="20" spans="1:6" s="98" customFormat="1" ht="56.65" customHeight="1" thickBot="1">
      <c r="A20" s="162"/>
      <c r="B20" s="164"/>
      <c r="C20" s="100" t="s">
        <v>245</v>
      </c>
      <c r="D20" s="101" t="s">
        <v>48</v>
      </c>
      <c r="E20" s="102" t="s">
        <v>51</v>
      </c>
      <c r="F20" s="102" t="s">
        <v>48</v>
      </c>
    </row>
    <row r="21" spans="1:6" ht="25.5">
      <c r="B21" s="92"/>
      <c r="C21" s="92"/>
      <c r="D21" s="92"/>
      <c r="E21" s="92"/>
    </row>
    <row r="22" spans="1:6" ht="25.5">
      <c r="B22" s="92"/>
      <c r="C22" s="92"/>
      <c r="D22" s="92"/>
      <c r="E22" s="92"/>
    </row>
    <row r="23" spans="1:6" ht="25.5">
      <c r="B23" s="92"/>
      <c r="C23" s="92"/>
      <c r="D23" s="92"/>
      <c r="E23" s="92"/>
    </row>
  </sheetData>
  <mergeCells count="8">
    <mergeCell ref="A1:A3"/>
    <mergeCell ref="B1:B3"/>
    <mergeCell ref="A4:A14"/>
    <mergeCell ref="A18:A20"/>
    <mergeCell ref="A15:A17"/>
    <mergeCell ref="B18:B20"/>
    <mergeCell ref="B15:B17"/>
    <mergeCell ref="B4:B14"/>
  </mergeCells>
  <conditionalFormatting sqref="D4:F20">
    <cfRule type="cellIs" dxfId="1" priority="1" operator="equal">
      <formula>"YES"</formula>
    </cfRule>
    <cfRule type="cellIs" dxfId="0" priority="2" operator="equal">
      <formula>"NO"</formula>
    </cfRule>
  </conditionalFormatting>
  <pageMargins left="0.7" right="0.7" top="0.57202380952380949" bottom="0.75" header="0.3" footer="0.3"/>
  <pageSetup scale="37" fitToHeight="0" orientation="portrait" r:id="rId1"/>
  <headerFooter>
    <oddHeader>&amp;L&amp;"MMC OFFICE,Bold"&amp;32Service Documentation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'Data sheet'!$C$72:$C$73</xm:f>
          </x14:formula1>
          <xm:sqref>D4:F20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BDA-1A3E-49F8-9089-2C70BACCA2B3}">
  <sheetPr>
    <pageSetUpPr fitToPage="1"/>
  </sheetPr>
  <dimension ref="A1:H83"/>
  <sheetViews>
    <sheetView showGridLines="0" view="pageBreakPreview" zoomScale="49" zoomScaleNormal="85" zoomScalePageLayoutView="74" workbookViewId="0">
      <selection activeCell="E86" sqref="E86"/>
    </sheetView>
  </sheetViews>
  <sheetFormatPr defaultColWidth="8.7109375" defaultRowHeight="20.25"/>
  <cols>
    <col min="1" max="1" width="8.7109375" style="61" customWidth="1"/>
    <col min="2" max="2" width="20.7109375" style="62" customWidth="1"/>
    <col min="3" max="3" width="34.140625" style="76" customWidth="1"/>
    <col min="4" max="4" width="21.140625" style="62" customWidth="1"/>
    <col min="5" max="5" width="71" style="62" customWidth="1"/>
    <col min="6" max="6" width="63.7109375" style="61" customWidth="1"/>
    <col min="7" max="7" width="17.7109375" style="65" customWidth="1"/>
    <col min="8" max="8" width="13.28515625" style="65" customWidth="1"/>
    <col min="9" max="16384" width="8.7109375" style="66"/>
  </cols>
  <sheetData>
    <row r="1" spans="1:8">
      <c r="C1" s="62"/>
      <c r="E1" s="63"/>
      <c r="F1" s="64"/>
      <c r="H1" s="66"/>
    </row>
    <row r="2" spans="1:8" s="69" customFormat="1">
      <c r="A2" s="67" t="s">
        <v>6</v>
      </c>
      <c r="B2" s="68" t="s">
        <v>7</v>
      </c>
      <c r="C2" s="68" t="s">
        <v>20</v>
      </c>
      <c r="D2" s="68" t="s">
        <v>38</v>
      </c>
      <c r="E2" s="68" t="s">
        <v>39</v>
      </c>
      <c r="F2" s="67" t="s">
        <v>246</v>
      </c>
    </row>
    <row r="3" spans="1:8" s="69" customFormat="1" ht="60.75">
      <c r="A3" s="70">
        <v>1</v>
      </c>
      <c r="B3" s="71" t="s">
        <v>15</v>
      </c>
      <c r="C3" s="71" t="s">
        <v>23</v>
      </c>
      <c r="D3" s="71" t="s">
        <v>46</v>
      </c>
      <c r="E3" s="72" t="s">
        <v>47</v>
      </c>
      <c r="F3" s="72" t="s">
        <v>247</v>
      </c>
    </row>
    <row r="4" spans="1:8" s="69" customFormat="1" ht="60.75">
      <c r="A4" s="70">
        <v>2</v>
      </c>
      <c r="B4" s="71" t="s">
        <v>15</v>
      </c>
      <c r="C4" s="71" t="s">
        <v>23</v>
      </c>
      <c r="D4" s="71" t="s">
        <v>49</v>
      </c>
      <c r="E4" s="72" t="s">
        <v>50</v>
      </c>
      <c r="F4" s="72" t="s">
        <v>248</v>
      </c>
    </row>
    <row r="5" spans="1:8" s="69" customFormat="1" ht="101.25">
      <c r="A5" s="70">
        <v>3</v>
      </c>
      <c r="B5" s="71" t="s">
        <v>15</v>
      </c>
      <c r="C5" s="71" t="s">
        <v>23</v>
      </c>
      <c r="D5" s="71" t="s">
        <v>49</v>
      </c>
      <c r="E5" s="72" t="s">
        <v>52</v>
      </c>
      <c r="F5" s="72" t="s">
        <v>249</v>
      </c>
    </row>
    <row r="6" spans="1:8" s="69" customFormat="1" ht="60.75">
      <c r="A6" s="70">
        <v>4</v>
      </c>
      <c r="B6" s="71" t="s">
        <v>15</v>
      </c>
      <c r="C6" s="71" t="s">
        <v>24</v>
      </c>
      <c r="D6" s="71" t="s">
        <v>54</v>
      </c>
      <c r="E6" s="72" t="s">
        <v>55</v>
      </c>
      <c r="F6" s="72" t="s">
        <v>250</v>
      </c>
    </row>
    <row r="7" spans="1:8" s="69" customFormat="1" ht="60.75">
      <c r="A7" s="70">
        <v>5</v>
      </c>
      <c r="B7" s="71" t="s">
        <v>15</v>
      </c>
      <c r="C7" s="71" t="s">
        <v>24</v>
      </c>
      <c r="D7" s="71" t="s">
        <v>56</v>
      </c>
      <c r="E7" s="72" t="s">
        <v>57</v>
      </c>
      <c r="F7" s="72" t="s">
        <v>251</v>
      </c>
    </row>
    <row r="8" spans="1:8" s="69" customFormat="1" ht="121.5">
      <c r="A8" s="70">
        <v>6</v>
      </c>
      <c r="B8" s="71" t="s">
        <v>15</v>
      </c>
      <c r="C8" s="71" t="s">
        <v>24</v>
      </c>
      <c r="D8" s="71" t="s">
        <v>58</v>
      </c>
      <c r="E8" s="72" t="s">
        <v>59</v>
      </c>
      <c r="F8" s="72" t="s">
        <v>252</v>
      </c>
    </row>
    <row r="9" spans="1:8" s="69" customFormat="1" ht="60.75">
      <c r="A9" s="70">
        <v>7</v>
      </c>
      <c r="B9" s="71" t="s">
        <v>15</v>
      </c>
      <c r="C9" s="71" t="s">
        <v>25</v>
      </c>
      <c r="D9" s="71" t="s">
        <v>60</v>
      </c>
      <c r="E9" s="72" t="s">
        <v>61</v>
      </c>
      <c r="F9" s="72" t="s">
        <v>253</v>
      </c>
    </row>
    <row r="10" spans="1:8" s="69" customFormat="1" ht="60.75">
      <c r="A10" s="70">
        <v>8</v>
      </c>
      <c r="B10" s="71" t="s">
        <v>13</v>
      </c>
      <c r="C10" s="71" t="s">
        <v>25</v>
      </c>
      <c r="D10" s="71" t="s">
        <v>62</v>
      </c>
      <c r="E10" s="72" t="s">
        <v>63</v>
      </c>
      <c r="F10" s="72" t="s">
        <v>254</v>
      </c>
    </row>
    <row r="11" spans="1:8" s="69" customFormat="1" ht="60.75">
      <c r="A11" s="70">
        <v>9</v>
      </c>
      <c r="B11" s="71" t="s">
        <v>15</v>
      </c>
      <c r="C11" s="71" t="s">
        <v>25</v>
      </c>
      <c r="D11" s="71" t="s">
        <v>64</v>
      </c>
      <c r="E11" s="72" t="s">
        <v>65</v>
      </c>
      <c r="F11" s="72" t="s">
        <v>255</v>
      </c>
    </row>
    <row r="12" spans="1:8" s="69" customFormat="1" ht="60.75">
      <c r="A12" s="70">
        <v>10</v>
      </c>
      <c r="B12" s="71" t="s">
        <v>13</v>
      </c>
      <c r="C12" s="71" t="s">
        <v>22</v>
      </c>
      <c r="D12" s="71" t="s">
        <v>66</v>
      </c>
      <c r="E12" s="72" t="s">
        <v>67</v>
      </c>
      <c r="F12" s="72" t="s">
        <v>256</v>
      </c>
    </row>
    <row r="13" spans="1:8" s="69" customFormat="1" ht="222.75">
      <c r="A13" s="70">
        <v>11</v>
      </c>
      <c r="B13" s="71" t="s">
        <v>15</v>
      </c>
      <c r="C13" s="71" t="s">
        <v>25</v>
      </c>
      <c r="D13" s="71" t="s">
        <v>68</v>
      </c>
      <c r="E13" s="72" t="s">
        <v>69</v>
      </c>
      <c r="F13" s="72" t="s">
        <v>257</v>
      </c>
    </row>
    <row r="14" spans="1:8" ht="121.5">
      <c r="A14" s="70">
        <v>12</v>
      </c>
      <c r="B14" s="71" t="s">
        <v>13</v>
      </c>
      <c r="C14" s="71" t="s">
        <v>25</v>
      </c>
      <c r="D14" s="71" t="s">
        <v>70</v>
      </c>
      <c r="E14" s="73" t="s">
        <v>71</v>
      </c>
      <c r="F14" s="72" t="s">
        <v>258</v>
      </c>
      <c r="G14" s="66"/>
      <c r="H14" s="66"/>
    </row>
    <row r="15" spans="1:8" s="69" customFormat="1" ht="81">
      <c r="A15" s="70">
        <v>13</v>
      </c>
      <c r="B15" s="71" t="s">
        <v>15</v>
      </c>
      <c r="C15" s="71" t="s">
        <v>21</v>
      </c>
      <c r="D15" s="71" t="s">
        <v>72</v>
      </c>
      <c r="E15" s="72" t="s">
        <v>73</v>
      </c>
      <c r="F15" s="72" t="s">
        <v>259</v>
      </c>
    </row>
    <row r="16" spans="1:8" s="69" customFormat="1" ht="101.25">
      <c r="A16" s="70">
        <v>14</v>
      </c>
      <c r="B16" s="71" t="s">
        <v>15</v>
      </c>
      <c r="C16" s="71" t="s">
        <v>23</v>
      </c>
      <c r="D16" s="71" t="s">
        <v>74</v>
      </c>
      <c r="E16" s="72" t="s">
        <v>75</v>
      </c>
      <c r="F16" s="72" t="s">
        <v>260</v>
      </c>
    </row>
    <row r="17" spans="1:8" s="69" customFormat="1" ht="182.25">
      <c r="A17" s="70">
        <v>15</v>
      </c>
      <c r="B17" s="71" t="s">
        <v>13</v>
      </c>
      <c r="C17" s="71" t="s">
        <v>26</v>
      </c>
      <c r="D17" s="71" t="s">
        <v>76</v>
      </c>
      <c r="E17" s="72" t="s">
        <v>77</v>
      </c>
      <c r="F17" s="72" t="s">
        <v>261</v>
      </c>
    </row>
    <row r="18" spans="1:8" s="69" customFormat="1" ht="81">
      <c r="A18" s="70">
        <v>16</v>
      </c>
      <c r="B18" s="71" t="s">
        <v>15</v>
      </c>
      <c r="C18" s="71" t="s">
        <v>26</v>
      </c>
      <c r="D18" s="71" t="s">
        <v>78</v>
      </c>
      <c r="E18" s="72" t="s">
        <v>79</v>
      </c>
      <c r="F18" s="72" t="s">
        <v>262</v>
      </c>
    </row>
    <row r="19" spans="1:8" ht="60.75">
      <c r="A19" s="70">
        <v>17</v>
      </c>
      <c r="B19" s="71" t="s">
        <v>15</v>
      </c>
      <c r="C19" s="71" t="s">
        <v>22</v>
      </c>
      <c r="D19" s="71" t="s">
        <v>80</v>
      </c>
      <c r="E19" s="73" t="s">
        <v>81</v>
      </c>
      <c r="F19" s="72" t="s">
        <v>263</v>
      </c>
      <c r="G19" s="66"/>
      <c r="H19" s="66"/>
    </row>
    <row r="20" spans="1:8" s="69" customFormat="1" ht="60.75">
      <c r="A20" s="70">
        <v>18</v>
      </c>
      <c r="B20" s="71" t="s">
        <v>15</v>
      </c>
      <c r="C20" s="71" t="s">
        <v>26</v>
      </c>
      <c r="D20" s="71" t="s">
        <v>82</v>
      </c>
      <c r="E20" s="72" t="s">
        <v>83</v>
      </c>
      <c r="F20" s="72" t="s">
        <v>264</v>
      </c>
    </row>
    <row r="21" spans="1:8" s="69" customFormat="1" ht="162">
      <c r="A21" s="70">
        <v>19</v>
      </c>
      <c r="B21" s="71" t="s">
        <v>15</v>
      </c>
      <c r="C21" s="71" t="s">
        <v>26</v>
      </c>
      <c r="D21" s="71" t="s">
        <v>84</v>
      </c>
      <c r="E21" s="72" t="s">
        <v>85</v>
      </c>
      <c r="F21" s="72" t="s">
        <v>265</v>
      </c>
    </row>
    <row r="22" spans="1:8" s="69" customFormat="1" ht="40.5">
      <c r="A22" s="70">
        <v>20</v>
      </c>
      <c r="B22" s="71" t="s">
        <v>15</v>
      </c>
      <c r="C22" s="71" t="s">
        <v>26</v>
      </c>
      <c r="D22" s="71" t="s">
        <v>86</v>
      </c>
      <c r="E22" s="72" t="s">
        <v>87</v>
      </c>
      <c r="F22" s="72" t="s">
        <v>266</v>
      </c>
    </row>
    <row r="23" spans="1:8" s="69" customFormat="1" ht="141.75">
      <c r="A23" s="70">
        <v>21</v>
      </c>
      <c r="B23" s="71" t="s">
        <v>17</v>
      </c>
      <c r="C23" s="71" t="s">
        <v>26</v>
      </c>
      <c r="D23" s="71" t="s">
        <v>88</v>
      </c>
      <c r="E23" s="72" t="s">
        <v>89</v>
      </c>
      <c r="F23" s="72" t="s">
        <v>267</v>
      </c>
    </row>
    <row r="24" spans="1:8" ht="40.5">
      <c r="A24" s="70">
        <v>22</v>
      </c>
      <c r="B24" s="71" t="s">
        <v>13</v>
      </c>
      <c r="C24" s="71" t="s">
        <v>26</v>
      </c>
      <c r="D24" s="71" t="s">
        <v>90</v>
      </c>
      <c r="E24" s="73" t="s">
        <v>91</v>
      </c>
      <c r="F24" s="72" t="s">
        <v>268</v>
      </c>
      <c r="G24" s="66"/>
      <c r="H24" s="66"/>
    </row>
    <row r="25" spans="1:8" ht="60.75">
      <c r="A25" s="70">
        <v>23</v>
      </c>
      <c r="B25" s="71" t="s">
        <v>13</v>
      </c>
      <c r="C25" s="71" t="s">
        <v>26</v>
      </c>
      <c r="D25" s="71" t="s">
        <v>92</v>
      </c>
      <c r="E25" s="73" t="s">
        <v>93</v>
      </c>
      <c r="F25" s="72" t="s">
        <v>269</v>
      </c>
      <c r="G25" s="66"/>
      <c r="H25" s="66"/>
    </row>
    <row r="26" spans="1:8" s="69" customFormat="1" ht="81">
      <c r="A26" s="70">
        <v>24</v>
      </c>
      <c r="B26" s="71" t="s">
        <v>15</v>
      </c>
      <c r="C26" s="71" t="s">
        <v>27</v>
      </c>
      <c r="D26" s="71" t="s">
        <v>94</v>
      </c>
      <c r="E26" s="72" t="s">
        <v>95</v>
      </c>
      <c r="F26" s="72" t="s">
        <v>270</v>
      </c>
    </row>
    <row r="27" spans="1:8" s="69" customFormat="1" ht="60.75">
      <c r="A27" s="70">
        <v>25</v>
      </c>
      <c r="B27" s="71" t="s">
        <v>15</v>
      </c>
      <c r="C27" s="71" t="s">
        <v>27</v>
      </c>
      <c r="D27" s="71" t="s">
        <v>96</v>
      </c>
      <c r="E27" s="72" t="s">
        <v>97</v>
      </c>
      <c r="F27" s="72" t="s">
        <v>271</v>
      </c>
    </row>
    <row r="28" spans="1:8" s="69" customFormat="1" ht="101.25">
      <c r="A28" s="70">
        <v>26</v>
      </c>
      <c r="B28" s="71" t="s">
        <v>15</v>
      </c>
      <c r="C28" s="71" t="s">
        <v>27</v>
      </c>
      <c r="D28" s="71" t="s">
        <v>98</v>
      </c>
      <c r="E28" s="72" t="s">
        <v>99</v>
      </c>
      <c r="F28" s="72" t="s">
        <v>272</v>
      </c>
    </row>
    <row r="29" spans="1:8" ht="40.5">
      <c r="A29" s="70">
        <v>27</v>
      </c>
      <c r="B29" s="71" t="s">
        <v>13</v>
      </c>
      <c r="C29" s="71" t="s">
        <v>28</v>
      </c>
      <c r="D29" s="71" t="s">
        <v>100</v>
      </c>
      <c r="E29" s="73" t="s">
        <v>101</v>
      </c>
      <c r="F29" s="72" t="s">
        <v>269</v>
      </c>
      <c r="G29" s="66"/>
      <c r="H29" s="66"/>
    </row>
    <row r="30" spans="1:8" s="69" customFormat="1" ht="202.5">
      <c r="A30" s="70">
        <v>28</v>
      </c>
      <c r="B30" s="71" t="s">
        <v>15</v>
      </c>
      <c r="C30" s="71" t="s">
        <v>28</v>
      </c>
      <c r="D30" s="71" t="s">
        <v>102</v>
      </c>
      <c r="E30" s="72" t="s">
        <v>103</v>
      </c>
      <c r="F30" s="72" t="s">
        <v>273</v>
      </c>
    </row>
    <row r="31" spans="1:8" ht="101.25">
      <c r="A31" s="70">
        <v>29</v>
      </c>
      <c r="B31" s="71" t="s">
        <v>15</v>
      </c>
      <c r="C31" s="71" t="s">
        <v>22</v>
      </c>
      <c r="D31" s="71" t="s">
        <v>80</v>
      </c>
      <c r="E31" s="73" t="s">
        <v>104</v>
      </c>
      <c r="F31" s="72" t="s">
        <v>274</v>
      </c>
      <c r="G31" s="66"/>
      <c r="H31" s="66"/>
    </row>
    <row r="32" spans="1:8" ht="81">
      <c r="A32" s="70">
        <v>30</v>
      </c>
      <c r="B32" s="71" t="s">
        <v>15</v>
      </c>
      <c r="C32" s="71" t="s">
        <v>28</v>
      </c>
      <c r="D32" s="71" t="s">
        <v>80</v>
      </c>
      <c r="E32" s="73" t="s">
        <v>105</v>
      </c>
      <c r="F32" s="72" t="s">
        <v>275</v>
      </c>
      <c r="G32" s="66"/>
      <c r="H32" s="66"/>
    </row>
    <row r="33" spans="1:8" s="69" customFormat="1" ht="60.75">
      <c r="A33" s="70">
        <v>31</v>
      </c>
      <c r="B33" s="71" t="s">
        <v>17</v>
      </c>
      <c r="C33" s="71" t="s">
        <v>28</v>
      </c>
      <c r="D33" s="71" t="s">
        <v>106</v>
      </c>
      <c r="E33" s="72" t="s">
        <v>107</v>
      </c>
      <c r="F33" s="72" t="s">
        <v>276</v>
      </c>
    </row>
    <row r="34" spans="1:8" s="69" customFormat="1" ht="81">
      <c r="A34" s="70">
        <v>32</v>
      </c>
      <c r="B34" s="71" t="s">
        <v>17</v>
      </c>
      <c r="C34" s="71" t="s">
        <v>28</v>
      </c>
      <c r="D34" s="71" t="s">
        <v>108</v>
      </c>
      <c r="E34" s="72" t="s">
        <v>109</v>
      </c>
      <c r="F34" s="72" t="s">
        <v>277</v>
      </c>
    </row>
    <row r="35" spans="1:8" s="69" customFormat="1" ht="60.75">
      <c r="A35" s="70">
        <v>33</v>
      </c>
      <c r="B35" s="71" t="s">
        <v>15</v>
      </c>
      <c r="C35" s="71" t="s">
        <v>28</v>
      </c>
      <c r="D35" s="71" t="s">
        <v>108</v>
      </c>
      <c r="E35" s="72" t="s">
        <v>111</v>
      </c>
      <c r="F35" s="72" t="s">
        <v>278</v>
      </c>
    </row>
    <row r="36" spans="1:8" s="69" customFormat="1" ht="81">
      <c r="A36" s="70">
        <v>34</v>
      </c>
      <c r="B36" s="71" t="s">
        <v>15</v>
      </c>
      <c r="C36" s="71" t="s">
        <v>28</v>
      </c>
      <c r="D36" s="71" t="s">
        <v>112</v>
      </c>
      <c r="E36" s="72" t="s">
        <v>113</v>
      </c>
      <c r="F36" s="72" t="s">
        <v>279</v>
      </c>
    </row>
    <row r="37" spans="1:8" s="69" customFormat="1" ht="202.5">
      <c r="A37" s="70">
        <v>35</v>
      </c>
      <c r="B37" s="71" t="s">
        <v>15</v>
      </c>
      <c r="C37" s="71" t="s">
        <v>29</v>
      </c>
      <c r="D37" s="71" t="s">
        <v>114</v>
      </c>
      <c r="E37" s="72" t="s">
        <v>115</v>
      </c>
      <c r="F37" s="72" t="s">
        <v>280</v>
      </c>
    </row>
    <row r="38" spans="1:8" s="69" customFormat="1" ht="60.75">
      <c r="A38" s="70">
        <v>36</v>
      </c>
      <c r="B38" s="71" t="s">
        <v>15</v>
      </c>
      <c r="C38" s="71" t="s">
        <v>29</v>
      </c>
      <c r="D38" s="71" t="s">
        <v>116</v>
      </c>
      <c r="E38" s="72" t="s">
        <v>117</v>
      </c>
      <c r="F38" s="72" t="s">
        <v>281</v>
      </c>
    </row>
    <row r="39" spans="1:8" s="69" customFormat="1" ht="81">
      <c r="A39" s="70">
        <v>37</v>
      </c>
      <c r="B39" s="71" t="s">
        <v>15</v>
      </c>
      <c r="C39" s="71" t="s">
        <v>29</v>
      </c>
      <c r="D39" s="71" t="s">
        <v>114</v>
      </c>
      <c r="E39" s="72" t="s">
        <v>118</v>
      </c>
      <c r="F39" s="72" t="s">
        <v>282</v>
      </c>
    </row>
    <row r="40" spans="1:8" s="69" customFormat="1" ht="81">
      <c r="A40" s="70">
        <v>38</v>
      </c>
      <c r="B40" s="71" t="s">
        <v>15</v>
      </c>
      <c r="C40" s="71" t="s">
        <v>29</v>
      </c>
      <c r="D40" s="71" t="s">
        <v>119</v>
      </c>
      <c r="E40" s="72" t="s">
        <v>120</v>
      </c>
      <c r="F40" s="72" t="s">
        <v>283</v>
      </c>
    </row>
    <row r="41" spans="1:8" ht="60.75">
      <c r="A41" s="70">
        <v>39</v>
      </c>
      <c r="B41" s="71" t="s">
        <v>15</v>
      </c>
      <c r="C41" s="71" t="s">
        <v>29</v>
      </c>
      <c r="D41" s="71" t="s">
        <v>121</v>
      </c>
      <c r="E41" s="73" t="s">
        <v>122</v>
      </c>
      <c r="F41" s="72" t="s">
        <v>284</v>
      </c>
      <c r="G41" s="66"/>
      <c r="H41" s="66"/>
    </row>
    <row r="42" spans="1:8" s="69" customFormat="1" ht="60.75">
      <c r="A42" s="70">
        <v>40</v>
      </c>
      <c r="B42" s="71" t="s">
        <v>15</v>
      </c>
      <c r="C42" s="71" t="s">
        <v>30</v>
      </c>
      <c r="D42" s="71" t="s">
        <v>123</v>
      </c>
      <c r="E42" s="72" t="s">
        <v>124</v>
      </c>
      <c r="F42" s="72" t="s">
        <v>285</v>
      </c>
    </row>
    <row r="43" spans="1:8" s="69" customFormat="1" ht="81">
      <c r="A43" s="70">
        <v>41</v>
      </c>
      <c r="B43" s="71" t="s">
        <v>15</v>
      </c>
      <c r="C43" s="71" t="s">
        <v>30</v>
      </c>
      <c r="D43" s="71" t="s">
        <v>125</v>
      </c>
      <c r="E43" s="72" t="s">
        <v>126</v>
      </c>
      <c r="F43" s="72" t="s">
        <v>286</v>
      </c>
    </row>
    <row r="44" spans="1:8" s="69" customFormat="1" ht="60.75">
      <c r="A44" s="70">
        <v>42</v>
      </c>
      <c r="B44" s="71" t="s">
        <v>15</v>
      </c>
      <c r="C44" s="71" t="s">
        <v>21</v>
      </c>
      <c r="D44" s="71" t="s">
        <v>127</v>
      </c>
      <c r="E44" s="72" t="s">
        <v>128</v>
      </c>
      <c r="F44" s="72" t="s">
        <v>287</v>
      </c>
    </row>
    <row r="45" spans="1:8" s="69" customFormat="1" ht="81">
      <c r="A45" s="70">
        <v>43</v>
      </c>
      <c r="B45" s="71" t="s">
        <v>15</v>
      </c>
      <c r="C45" s="71" t="s">
        <v>31</v>
      </c>
      <c r="D45" s="71" t="s">
        <v>86</v>
      </c>
      <c r="E45" s="72" t="s">
        <v>129</v>
      </c>
      <c r="F45" s="72" t="s">
        <v>288</v>
      </c>
    </row>
    <row r="46" spans="1:8" s="69" customFormat="1" ht="60.75">
      <c r="A46" s="70">
        <v>44</v>
      </c>
      <c r="B46" s="71" t="s">
        <v>15</v>
      </c>
      <c r="C46" s="71" t="s">
        <v>31</v>
      </c>
      <c r="D46" s="71" t="s">
        <v>130</v>
      </c>
      <c r="E46" s="72" t="s">
        <v>131</v>
      </c>
      <c r="F46" s="72" t="s">
        <v>289</v>
      </c>
    </row>
    <row r="47" spans="1:8" ht="81">
      <c r="A47" s="70">
        <v>45</v>
      </c>
      <c r="B47" s="71" t="s">
        <v>13</v>
      </c>
      <c r="C47" s="71" t="s">
        <v>21</v>
      </c>
      <c r="D47" s="71" t="s">
        <v>132</v>
      </c>
      <c r="E47" s="73" t="s">
        <v>133</v>
      </c>
      <c r="F47" s="72" t="s">
        <v>290</v>
      </c>
      <c r="G47" s="66"/>
      <c r="H47" s="66"/>
    </row>
    <row r="48" spans="1:8" ht="60.75">
      <c r="A48" s="70">
        <v>46</v>
      </c>
      <c r="B48" s="71" t="s">
        <v>15</v>
      </c>
      <c r="C48" s="71" t="s">
        <v>31</v>
      </c>
      <c r="D48" s="71" t="s">
        <v>121</v>
      </c>
      <c r="E48" s="73" t="s">
        <v>134</v>
      </c>
      <c r="F48" s="72" t="s">
        <v>291</v>
      </c>
      <c r="G48" s="66"/>
      <c r="H48" s="66"/>
    </row>
    <row r="49" spans="1:8" ht="81">
      <c r="A49" s="70">
        <v>47</v>
      </c>
      <c r="B49" s="71" t="s">
        <v>15</v>
      </c>
      <c r="C49" s="71" t="s">
        <v>21</v>
      </c>
      <c r="D49" s="71" t="s">
        <v>135</v>
      </c>
      <c r="E49" s="73" t="s">
        <v>136</v>
      </c>
      <c r="F49" s="72" t="s">
        <v>290</v>
      </c>
      <c r="G49" s="66"/>
      <c r="H49" s="66"/>
    </row>
    <row r="50" spans="1:8" ht="101.25">
      <c r="A50" s="70">
        <v>48</v>
      </c>
      <c r="B50" s="71" t="s">
        <v>15</v>
      </c>
      <c r="C50" s="71" t="s">
        <v>21</v>
      </c>
      <c r="D50" s="71" t="s">
        <v>137</v>
      </c>
      <c r="E50" s="73" t="s">
        <v>138</v>
      </c>
      <c r="F50" s="72" t="s">
        <v>290</v>
      </c>
      <c r="G50" s="66"/>
      <c r="H50" s="66"/>
    </row>
    <row r="51" spans="1:8" ht="81">
      <c r="A51" s="70">
        <v>49</v>
      </c>
      <c r="B51" s="71" t="s">
        <v>15</v>
      </c>
      <c r="C51" s="71" t="s">
        <v>21</v>
      </c>
      <c r="D51" s="71" t="s">
        <v>139</v>
      </c>
      <c r="E51" s="73" t="s">
        <v>140</v>
      </c>
      <c r="F51" s="72" t="s">
        <v>290</v>
      </c>
      <c r="G51" s="66"/>
      <c r="H51" s="66"/>
    </row>
    <row r="52" spans="1:8" ht="141.75">
      <c r="A52" s="70">
        <v>50</v>
      </c>
      <c r="B52" s="71" t="s">
        <v>15</v>
      </c>
      <c r="C52" s="71" t="s">
        <v>21</v>
      </c>
      <c r="D52" s="71" t="s">
        <v>141</v>
      </c>
      <c r="E52" s="73" t="s">
        <v>142</v>
      </c>
      <c r="F52" s="72" t="s">
        <v>290</v>
      </c>
      <c r="G52" s="66"/>
      <c r="H52" s="66"/>
    </row>
    <row r="53" spans="1:8" ht="40.5">
      <c r="A53" s="70">
        <v>51</v>
      </c>
      <c r="B53" s="71" t="s">
        <v>15</v>
      </c>
      <c r="C53" s="71" t="s">
        <v>21</v>
      </c>
      <c r="D53" s="71" t="s">
        <v>143</v>
      </c>
      <c r="E53" s="73" t="s">
        <v>144</v>
      </c>
      <c r="F53" s="72" t="s">
        <v>290</v>
      </c>
      <c r="G53" s="66"/>
      <c r="H53" s="66"/>
    </row>
    <row r="54" spans="1:8" ht="40.5">
      <c r="A54" s="70">
        <v>52</v>
      </c>
      <c r="B54" s="71" t="s">
        <v>15</v>
      </c>
      <c r="C54" s="71" t="s">
        <v>21</v>
      </c>
      <c r="D54" s="71" t="s">
        <v>145</v>
      </c>
      <c r="E54" s="73" t="s">
        <v>146</v>
      </c>
      <c r="F54" s="72" t="s">
        <v>290</v>
      </c>
      <c r="G54" s="66"/>
      <c r="H54" s="66"/>
    </row>
    <row r="55" spans="1:8" ht="60.75">
      <c r="A55" s="70">
        <v>53</v>
      </c>
      <c r="B55" s="71" t="s">
        <v>15</v>
      </c>
      <c r="C55" s="71" t="s">
        <v>31</v>
      </c>
      <c r="D55" s="71" t="s">
        <v>147</v>
      </c>
      <c r="E55" s="73" t="s">
        <v>93</v>
      </c>
      <c r="F55" s="72" t="s">
        <v>269</v>
      </c>
      <c r="G55" s="66"/>
      <c r="H55" s="66"/>
    </row>
    <row r="56" spans="1:8" ht="40.5">
      <c r="A56" s="70">
        <v>54</v>
      </c>
      <c r="B56" s="71" t="s">
        <v>15</v>
      </c>
      <c r="C56" s="71" t="s">
        <v>21</v>
      </c>
      <c r="D56" s="71" t="s">
        <v>148</v>
      </c>
      <c r="E56" s="73" t="s">
        <v>93</v>
      </c>
      <c r="F56" s="72" t="s">
        <v>269</v>
      </c>
      <c r="G56" s="66"/>
      <c r="H56" s="66"/>
    </row>
    <row r="57" spans="1:8" ht="40.5">
      <c r="A57" s="70">
        <v>55</v>
      </c>
      <c r="B57" s="71" t="s">
        <v>15</v>
      </c>
      <c r="C57" s="71" t="s">
        <v>21</v>
      </c>
      <c r="D57" s="71" t="s">
        <v>149</v>
      </c>
      <c r="E57" s="73" t="s">
        <v>93</v>
      </c>
      <c r="F57" s="72" t="s">
        <v>269</v>
      </c>
      <c r="G57" s="66"/>
      <c r="H57" s="66"/>
    </row>
    <row r="58" spans="1:8" ht="40.5">
      <c r="A58" s="70">
        <v>56</v>
      </c>
      <c r="B58" s="71" t="s">
        <v>15</v>
      </c>
      <c r="C58" s="71" t="s">
        <v>22</v>
      </c>
      <c r="D58" s="71" t="s">
        <v>150</v>
      </c>
      <c r="E58" s="73" t="s">
        <v>151</v>
      </c>
      <c r="F58" s="72" t="s">
        <v>292</v>
      </c>
      <c r="G58" s="66"/>
      <c r="H58" s="66"/>
    </row>
    <row r="59" spans="1:8" ht="60.75">
      <c r="A59" s="70">
        <v>57</v>
      </c>
      <c r="B59" s="71" t="s">
        <v>15</v>
      </c>
      <c r="C59" s="71" t="s">
        <v>23</v>
      </c>
      <c r="D59" s="71" t="s">
        <v>152</v>
      </c>
      <c r="E59" s="74" t="s">
        <v>153</v>
      </c>
      <c r="F59" s="72" t="s">
        <v>290</v>
      </c>
      <c r="G59" s="66"/>
      <c r="H59" s="66"/>
    </row>
    <row r="60" spans="1:8" s="69" customFormat="1" ht="81">
      <c r="A60" s="70">
        <v>58</v>
      </c>
      <c r="B60" s="71" t="s">
        <v>15</v>
      </c>
      <c r="C60" s="71" t="s">
        <v>32</v>
      </c>
      <c r="D60" s="71" t="s">
        <v>86</v>
      </c>
      <c r="E60" s="72" t="s">
        <v>154</v>
      </c>
      <c r="F60" s="72" t="s">
        <v>293</v>
      </c>
    </row>
    <row r="61" spans="1:8" ht="60.75">
      <c r="A61" s="70">
        <v>59</v>
      </c>
      <c r="B61" s="71" t="s">
        <v>15</v>
      </c>
      <c r="C61" s="71" t="s">
        <v>32</v>
      </c>
      <c r="D61" s="71" t="s">
        <v>155</v>
      </c>
      <c r="E61" s="73" t="s">
        <v>156</v>
      </c>
      <c r="F61" s="72" t="s">
        <v>294</v>
      </c>
      <c r="G61" s="66"/>
      <c r="H61" s="66"/>
    </row>
    <row r="62" spans="1:8" s="69" customFormat="1" ht="60.75">
      <c r="A62" s="70">
        <v>60</v>
      </c>
      <c r="B62" s="71" t="s">
        <v>15</v>
      </c>
      <c r="C62" s="71" t="s">
        <v>32</v>
      </c>
      <c r="D62" s="71" t="s">
        <v>157</v>
      </c>
      <c r="E62" s="72" t="s">
        <v>158</v>
      </c>
      <c r="F62" s="72" t="s">
        <v>295</v>
      </c>
    </row>
    <row r="63" spans="1:8" ht="81">
      <c r="A63" s="70">
        <v>61</v>
      </c>
      <c r="B63" s="71" t="s">
        <v>15</v>
      </c>
      <c r="C63" s="71" t="s">
        <v>32</v>
      </c>
      <c r="D63" s="71" t="s">
        <v>121</v>
      </c>
      <c r="E63" s="73" t="s">
        <v>159</v>
      </c>
      <c r="F63" s="72" t="s">
        <v>296</v>
      </c>
      <c r="G63" s="66"/>
      <c r="H63" s="66"/>
    </row>
    <row r="64" spans="1:8" s="69" customFormat="1" ht="60.75">
      <c r="A64" s="70">
        <v>62</v>
      </c>
      <c r="B64" s="71" t="s">
        <v>15</v>
      </c>
      <c r="C64" s="71" t="s">
        <v>33</v>
      </c>
      <c r="D64" s="71" t="s">
        <v>160</v>
      </c>
      <c r="E64" s="72" t="s">
        <v>161</v>
      </c>
      <c r="F64" s="72" t="s">
        <v>297</v>
      </c>
    </row>
    <row r="65" spans="1:8" s="69" customFormat="1" ht="40.5">
      <c r="A65" s="70">
        <v>63</v>
      </c>
      <c r="B65" s="71" t="s">
        <v>15</v>
      </c>
      <c r="C65" s="71" t="s">
        <v>33</v>
      </c>
      <c r="D65" s="71" t="s">
        <v>162</v>
      </c>
      <c r="E65" s="72" t="s">
        <v>163</v>
      </c>
      <c r="F65" s="72" t="s">
        <v>298</v>
      </c>
    </row>
    <row r="66" spans="1:8" s="69" customFormat="1" ht="81">
      <c r="A66" s="70">
        <v>64</v>
      </c>
      <c r="B66" s="71" t="s">
        <v>15</v>
      </c>
      <c r="C66" s="71" t="s">
        <v>33</v>
      </c>
      <c r="D66" s="71" t="s">
        <v>164</v>
      </c>
      <c r="E66" s="72" t="s">
        <v>165</v>
      </c>
      <c r="F66" s="72" t="s">
        <v>299</v>
      </c>
    </row>
    <row r="67" spans="1:8" s="69" customFormat="1" ht="60.75">
      <c r="A67" s="70">
        <v>65</v>
      </c>
      <c r="B67" s="71" t="s">
        <v>15</v>
      </c>
      <c r="C67" s="71" t="s">
        <v>33</v>
      </c>
      <c r="D67" s="71" t="s">
        <v>166</v>
      </c>
      <c r="E67" s="72" t="s">
        <v>167</v>
      </c>
      <c r="F67" s="72" t="s">
        <v>300</v>
      </c>
    </row>
    <row r="68" spans="1:8" s="69" customFormat="1" ht="121.5">
      <c r="A68" s="70">
        <v>66</v>
      </c>
      <c r="B68" s="71" t="s">
        <v>15</v>
      </c>
      <c r="C68" s="71" t="s">
        <v>33</v>
      </c>
      <c r="D68" s="71" t="s">
        <v>168</v>
      </c>
      <c r="E68" s="72" t="s">
        <v>169</v>
      </c>
      <c r="F68" s="72" t="s">
        <v>273</v>
      </c>
    </row>
    <row r="69" spans="1:8" s="69" customFormat="1" ht="40.5">
      <c r="A69" s="70">
        <v>67</v>
      </c>
      <c r="B69" s="71" t="s">
        <v>15</v>
      </c>
      <c r="C69" s="71" t="s">
        <v>35</v>
      </c>
      <c r="D69" s="71" t="s">
        <v>168</v>
      </c>
      <c r="E69" s="72" t="s">
        <v>170</v>
      </c>
      <c r="F69" s="72" t="s">
        <v>301</v>
      </c>
    </row>
    <row r="70" spans="1:8" s="69" customFormat="1" ht="81">
      <c r="A70" s="70">
        <v>68</v>
      </c>
      <c r="B70" s="71" t="s">
        <v>15</v>
      </c>
      <c r="C70" s="71" t="s">
        <v>35</v>
      </c>
      <c r="D70" s="71" t="s">
        <v>171</v>
      </c>
      <c r="E70" s="72" t="s">
        <v>172</v>
      </c>
      <c r="F70" s="72" t="s">
        <v>302</v>
      </c>
    </row>
    <row r="71" spans="1:8" s="69" customFormat="1" ht="81">
      <c r="A71" s="70">
        <v>69</v>
      </c>
      <c r="B71" s="71" t="s">
        <v>15</v>
      </c>
      <c r="C71" s="71" t="s">
        <v>35</v>
      </c>
      <c r="D71" s="71" t="s">
        <v>171</v>
      </c>
      <c r="E71" s="72" t="s">
        <v>173</v>
      </c>
      <c r="F71" s="72" t="s">
        <v>303</v>
      </c>
    </row>
    <row r="72" spans="1:8" s="69" customFormat="1" ht="60.75">
      <c r="A72" s="70">
        <v>70</v>
      </c>
      <c r="B72" s="71" t="s">
        <v>15</v>
      </c>
      <c r="C72" s="71" t="s">
        <v>36</v>
      </c>
      <c r="D72" s="71" t="s">
        <v>174</v>
      </c>
      <c r="E72" s="72" t="s">
        <v>175</v>
      </c>
      <c r="F72" s="72" t="s">
        <v>304</v>
      </c>
    </row>
    <row r="73" spans="1:8" s="69" customFormat="1" ht="40.5">
      <c r="A73" s="70">
        <v>71</v>
      </c>
      <c r="B73" s="71" t="s">
        <v>15</v>
      </c>
      <c r="C73" s="71" t="s">
        <v>36</v>
      </c>
      <c r="D73" s="71" t="s">
        <v>174</v>
      </c>
      <c r="E73" s="72" t="s">
        <v>176</v>
      </c>
      <c r="F73" s="72" t="s">
        <v>305</v>
      </c>
    </row>
    <row r="74" spans="1:8" s="69" customFormat="1" ht="60.75">
      <c r="A74" s="70">
        <v>72</v>
      </c>
      <c r="B74" s="71" t="s">
        <v>15</v>
      </c>
      <c r="C74" s="71" t="s">
        <v>36</v>
      </c>
      <c r="D74" s="71" t="s">
        <v>174</v>
      </c>
      <c r="E74" s="72" t="s">
        <v>177</v>
      </c>
      <c r="F74" s="72" t="s">
        <v>306</v>
      </c>
    </row>
    <row r="75" spans="1:8" s="69" customFormat="1" ht="60.75">
      <c r="A75" s="70">
        <v>73</v>
      </c>
      <c r="B75" s="71" t="s">
        <v>15</v>
      </c>
      <c r="C75" s="71" t="s">
        <v>36</v>
      </c>
      <c r="D75" s="71" t="s">
        <v>178</v>
      </c>
      <c r="E75" s="72" t="s">
        <v>179</v>
      </c>
      <c r="F75" s="72" t="s">
        <v>307</v>
      </c>
    </row>
    <row r="76" spans="1:8" s="69" customFormat="1" ht="40.5">
      <c r="A76" s="70">
        <v>74</v>
      </c>
      <c r="B76" s="71" t="s">
        <v>17</v>
      </c>
      <c r="C76" s="71" t="s">
        <v>21</v>
      </c>
      <c r="D76" s="71" t="s">
        <v>180</v>
      </c>
      <c r="E76" s="72" t="s">
        <v>181</v>
      </c>
      <c r="F76" s="72" t="s">
        <v>308</v>
      </c>
    </row>
    <row r="77" spans="1:8" s="69" customFormat="1" ht="408" customHeight="1">
      <c r="A77" s="70">
        <v>75</v>
      </c>
      <c r="B77" s="71" t="s">
        <v>15</v>
      </c>
      <c r="C77" s="71" t="s">
        <v>36</v>
      </c>
      <c r="D77" s="71" t="s">
        <v>174</v>
      </c>
      <c r="E77" s="106" t="s">
        <v>182</v>
      </c>
      <c r="F77" s="72" t="s">
        <v>309</v>
      </c>
    </row>
    <row r="78" spans="1:8">
      <c r="A78" s="67"/>
      <c r="B78" s="68" t="s">
        <v>8</v>
      </c>
      <c r="C78" s="68"/>
      <c r="D78" s="68"/>
      <c r="E78" s="72"/>
      <c r="F78" s="75"/>
      <c r="G78" s="66"/>
      <c r="H78" s="66"/>
    </row>
    <row r="80" spans="1:8">
      <c r="E80" s="15"/>
      <c r="F80" s="16"/>
    </row>
    <row r="81" spans="5:6">
      <c r="E81" s="17"/>
      <c r="F81" s="18"/>
    </row>
    <row r="82" spans="5:6">
      <c r="E82" s="17"/>
      <c r="F82" s="19"/>
    </row>
    <row r="83" spans="5:6">
      <c r="E83" s="15"/>
      <c r="F83" s="20"/>
    </row>
  </sheetData>
  <pageMargins left="0.7" right="0.7" top="0.75" bottom="0.75" header="0.3" footer="0.3"/>
  <pageSetup scale="41" fitToHeight="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F89"/>
  <sheetViews>
    <sheetView showGridLines="0" zoomScaleNormal="100" workbookViewId="0">
      <pane xSplit="2" ySplit="3" topLeftCell="C4" activePane="bottomRight" state="frozen"/>
      <selection pane="topRight"/>
      <selection pane="bottomLeft"/>
      <selection pane="bottomRight" activeCell="H12" sqref="H12"/>
    </sheetView>
  </sheetViews>
  <sheetFormatPr defaultColWidth="8.7109375" defaultRowHeight="15"/>
  <cols>
    <col min="1" max="1" width="33.7109375" style="9" bestFit="1" customWidth="1"/>
    <col min="2" max="2" width="18.42578125" style="9" bestFit="1" customWidth="1"/>
    <col min="3" max="4" width="18.42578125" style="10" bestFit="1" customWidth="1"/>
    <col min="5" max="5" width="11.42578125" style="10" bestFit="1" customWidth="1"/>
    <col min="6" max="6" width="13.28515625" style="10" customWidth="1"/>
    <col min="7" max="7" width="12.7109375" style="9" bestFit="1" customWidth="1"/>
    <col min="8" max="8" width="19.42578125" style="9" bestFit="1" customWidth="1"/>
    <col min="9" max="9" width="18" style="9" bestFit="1" customWidth="1"/>
    <col min="10" max="16384" width="8.7109375" style="9"/>
  </cols>
  <sheetData>
    <row r="2" spans="1:6">
      <c r="A2" s="12"/>
      <c r="B2" s="13" t="s">
        <v>310</v>
      </c>
      <c r="C2" s="14"/>
      <c r="D2" s="14"/>
      <c r="E2" s="14"/>
      <c r="F2"/>
    </row>
    <row r="3" spans="1:6">
      <c r="A3" s="11" t="s">
        <v>38</v>
      </c>
      <c r="B3" s="14" t="s">
        <v>13</v>
      </c>
      <c r="C3" s="14" t="s">
        <v>15</v>
      </c>
      <c r="D3" s="14" t="s">
        <v>17</v>
      </c>
      <c r="E3" s="14" t="s">
        <v>311</v>
      </c>
      <c r="F3"/>
    </row>
    <row r="4" spans="1:6">
      <c r="A4" s="12" t="s">
        <v>90</v>
      </c>
      <c r="B4" s="14"/>
      <c r="C4" s="14"/>
      <c r="D4" s="14"/>
      <c r="E4" s="14"/>
      <c r="F4"/>
    </row>
    <row r="5" spans="1:6">
      <c r="A5" s="12" t="s">
        <v>132</v>
      </c>
      <c r="B5" s="14"/>
      <c r="C5" s="14"/>
      <c r="D5" s="14"/>
      <c r="E5" s="14"/>
      <c r="F5"/>
    </row>
    <row r="6" spans="1:6">
      <c r="A6" s="12" t="s">
        <v>135</v>
      </c>
      <c r="B6" s="14"/>
      <c r="C6" s="14"/>
      <c r="D6" s="14"/>
      <c r="E6" s="14"/>
      <c r="F6"/>
    </row>
    <row r="7" spans="1:6">
      <c r="A7" s="12" t="s">
        <v>137</v>
      </c>
      <c r="B7" s="14"/>
      <c r="C7" s="14"/>
      <c r="D7" s="14"/>
      <c r="E7" s="14"/>
      <c r="F7"/>
    </row>
    <row r="8" spans="1:6">
      <c r="A8" s="12" t="s">
        <v>139</v>
      </c>
      <c r="B8" s="14"/>
      <c r="C8" s="14"/>
      <c r="D8" s="14"/>
      <c r="E8" s="14"/>
      <c r="F8"/>
    </row>
    <row r="9" spans="1:6">
      <c r="A9" s="12" t="s">
        <v>141</v>
      </c>
      <c r="B9" s="14"/>
      <c r="C9" s="14"/>
      <c r="D9" s="14"/>
      <c r="E9" s="14"/>
      <c r="F9"/>
    </row>
    <row r="10" spans="1:6">
      <c r="A10" s="12" t="s">
        <v>143</v>
      </c>
      <c r="B10" s="14"/>
      <c r="C10" s="14"/>
      <c r="D10" s="14"/>
      <c r="E10" s="14"/>
      <c r="F10"/>
    </row>
    <row r="11" spans="1:6">
      <c r="A11" s="12" t="s">
        <v>145</v>
      </c>
      <c r="B11" s="14"/>
      <c r="C11" s="14"/>
      <c r="D11" s="14"/>
      <c r="E11" s="14"/>
      <c r="F11"/>
    </row>
    <row r="12" spans="1:6">
      <c r="A12" s="12" t="s">
        <v>92</v>
      </c>
      <c r="B12" s="14"/>
      <c r="C12" s="14"/>
      <c r="D12" s="14"/>
      <c r="E12" s="14"/>
      <c r="F12"/>
    </row>
    <row r="13" spans="1:6">
      <c r="A13" s="12" t="s">
        <v>80</v>
      </c>
      <c r="B13" s="14"/>
      <c r="C13" s="14"/>
      <c r="D13" s="14"/>
      <c r="E13" s="14"/>
      <c r="F13"/>
    </row>
    <row r="14" spans="1:6">
      <c r="A14" s="12" t="s">
        <v>150</v>
      </c>
      <c r="B14" s="14"/>
      <c r="C14" s="14"/>
      <c r="D14" s="14"/>
      <c r="E14" s="14"/>
      <c r="F14"/>
    </row>
    <row r="15" spans="1:6">
      <c r="A15" s="12" t="s">
        <v>148</v>
      </c>
      <c r="B15" s="14"/>
      <c r="C15" s="14"/>
      <c r="D15" s="14"/>
      <c r="E15" s="14"/>
      <c r="F15"/>
    </row>
    <row r="16" spans="1:6">
      <c r="A16" s="12" t="s">
        <v>312</v>
      </c>
      <c r="B16" s="14"/>
      <c r="C16" s="14"/>
      <c r="D16" s="14"/>
      <c r="E16" s="14"/>
      <c r="F16"/>
    </row>
    <row r="17" spans="1:6">
      <c r="A17" s="12" t="s">
        <v>313</v>
      </c>
      <c r="B17" s="14"/>
      <c r="C17" s="14"/>
      <c r="D17" s="14"/>
      <c r="E17" s="14"/>
      <c r="F17"/>
    </row>
    <row r="18" spans="1:6">
      <c r="A18" s="12" t="s">
        <v>70</v>
      </c>
      <c r="B18" s="14"/>
      <c r="C18" s="14"/>
      <c r="D18" s="14"/>
      <c r="E18" s="14"/>
      <c r="F18"/>
    </row>
    <row r="19" spans="1:6">
      <c r="A19" s="12" t="s">
        <v>121</v>
      </c>
      <c r="B19" s="14"/>
      <c r="C19" s="14"/>
      <c r="D19" s="14"/>
      <c r="E19" s="14"/>
      <c r="F19"/>
    </row>
    <row r="20" spans="1:6">
      <c r="A20" s="12" t="s">
        <v>155</v>
      </c>
      <c r="B20" s="14"/>
      <c r="C20" s="14"/>
      <c r="D20" s="14"/>
      <c r="E20" s="14"/>
      <c r="F20"/>
    </row>
    <row r="21" spans="1:6">
      <c r="A21" s="12" t="s">
        <v>100</v>
      </c>
      <c r="B21" s="14"/>
      <c r="C21" s="14"/>
      <c r="D21" s="14"/>
      <c r="E21" s="14"/>
      <c r="F21"/>
    </row>
    <row r="22" spans="1:6">
      <c r="A22" s="12" t="s">
        <v>152</v>
      </c>
      <c r="B22" s="14"/>
      <c r="C22" s="14"/>
      <c r="D22" s="14"/>
      <c r="E22" s="14"/>
      <c r="F22"/>
    </row>
    <row r="23" spans="1:6">
      <c r="A23" s="12" t="s">
        <v>54</v>
      </c>
      <c r="B23" s="14"/>
      <c r="C23" s="14"/>
      <c r="D23" s="14"/>
      <c r="E23" s="14"/>
      <c r="F23"/>
    </row>
    <row r="24" spans="1:6">
      <c r="A24" s="12" t="s">
        <v>56</v>
      </c>
      <c r="B24" s="14"/>
      <c r="C24" s="14"/>
      <c r="D24" s="14"/>
      <c r="E24" s="14"/>
      <c r="F24"/>
    </row>
    <row r="25" spans="1:6">
      <c r="A25" s="12" t="s">
        <v>58</v>
      </c>
      <c r="B25" s="14"/>
      <c r="C25" s="14"/>
      <c r="D25" s="14"/>
      <c r="E25" s="14"/>
      <c r="F25"/>
    </row>
    <row r="26" spans="1:6">
      <c r="A26" s="12" t="s">
        <v>60</v>
      </c>
      <c r="B26" s="14"/>
      <c r="C26" s="14"/>
      <c r="D26" s="14"/>
      <c r="E26" s="14"/>
      <c r="F26"/>
    </row>
    <row r="27" spans="1:6">
      <c r="A27" s="12" t="s">
        <v>314</v>
      </c>
      <c r="B27" s="14"/>
      <c r="C27" s="14"/>
      <c r="D27" s="14"/>
      <c r="E27" s="14"/>
      <c r="F27"/>
    </row>
    <row r="28" spans="1:6">
      <c r="A28" s="12" t="s">
        <v>64</v>
      </c>
      <c r="B28" s="14"/>
      <c r="C28" s="14"/>
      <c r="D28" s="14"/>
      <c r="E28" s="14"/>
      <c r="F28"/>
    </row>
    <row r="29" spans="1:6">
      <c r="A29" s="12" t="s">
        <v>68</v>
      </c>
      <c r="B29" s="14"/>
      <c r="C29" s="14"/>
      <c r="D29" s="14"/>
      <c r="E29" s="14"/>
      <c r="F29"/>
    </row>
    <row r="30" spans="1:6">
      <c r="A30" s="12" t="s">
        <v>72</v>
      </c>
      <c r="B30" s="14"/>
      <c r="C30" s="14"/>
      <c r="D30" s="14"/>
      <c r="E30" s="14"/>
      <c r="F30"/>
    </row>
    <row r="31" spans="1:6">
      <c r="A31" s="12" t="s">
        <v>76</v>
      </c>
      <c r="B31" s="14"/>
      <c r="C31" s="14"/>
      <c r="D31" s="14"/>
      <c r="E31" s="14"/>
      <c r="F31"/>
    </row>
    <row r="32" spans="1:6">
      <c r="A32" s="12" t="s">
        <v>78</v>
      </c>
      <c r="B32" s="14"/>
      <c r="C32" s="14"/>
      <c r="D32" s="14"/>
      <c r="E32" s="14"/>
      <c r="F32"/>
    </row>
    <row r="33" spans="1:6">
      <c r="A33" s="12" t="s">
        <v>82</v>
      </c>
      <c r="B33" s="14"/>
      <c r="C33" s="14"/>
      <c r="D33" s="14"/>
      <c r="E33" s="14"/>
      <c r="F33"/>
    </row>
    <row r="34" spans="1:6">
      <c r="A34" s="12" t="s">
        <v>84</v>
      </c>
      <c r="B34" s="14"/>
      <c r="C34" s="14"/>
      <c r="D34" s="14"/>
      <c r="E34" s="14"/>
      <c r="F34"/>
    </row>
    <row r="35" spans="1:6">
      <c r="A35" s="12" t="s">
        <v>86</v>
      </c>
      <c r="B35" s="14"/>
      <c r="C35" s="14"/>
      <c r="D35" s="14"/>
      <c r="E35" s="14"/>
      <c r="F35"/>
    </row>
    <row r="36" spans="1:6">
      <c r="A36" s="12" t="s">
        <v>88</v>
      </c>
      <c r="B36" s="14"/>
      <c r="C36" s="14"/>
      <c r="D36" s="14"/>
      <c r="E36" s="14"/>
      <c r="F36"/>
    </row>
    <row r="37" spans="1:6">
      <c r="A37" s="12" t="s">
        <v>94</v>
      </c>
      <c r="B37" s="14"/>
      <c r="C37" s="14"/>
      <c r="D37" s="14"/>
      <c r="E37" s="14"/>
      <c r="F37"/>
    </row>
    <row r="38" spans="1:6">
      <c r="A38" s="12" t="s">
        <v>96</v>
      </c>
      <c r="B38" s="14"/>
      <c r="C38" s="14"/>
      <c r="D38" s="14"/>
      <c r="E38" s="14"/>
      <c r="F38"/>
    </row>
    <row r="39" spans="1:6">
      <c r="A39" s="12" t="s">
        <v>98</v>
      </c>
      <c r="B39" s="14"/>
      <c r="C39" s="14"/>
      <c r="D39" s="14"/>
      <c r="E39" s="14"/>
      <c r="F39"/>
    </row>
    <row r="40" spans="1:6">
      <c r="A40" s="12" t="s">
        <v>315</v>
      </c>
      <c r="B40" s="14"/>
      <c r="C40" s="14"/>
      <c r="D40" s="14"/>
      <c r="E40" s="14"/>
      <c r="F40"/>
    </row>
    <row r="41" spans="1:6">
      <c r="A41" s="12" t="s">
        <v>102</v>
      </c>
      <c r="B41" s="14"/>
      <c r="C41" s="14"/>
      <c r="D41" s="14"/>
      <c r="E41" s="14"/>
      <c r="F41"/>
    </row>
    <row r="42" spans="1:6">
      <c r="A42" s="12" t="s">
        <v>106</v>
      </c>
      <c r="B42" s="14"/>
      <c r="C42" s="14"/>
      <c r="D42" s="14"/>
      <c r="E42" s="14"/>
      <c r="F42"/>
    </row>
    <row r="43" spans="1:6">
      <c r="A43" s="12" t="s">
        <v>108</v>
      </c>
      <c r="B43" s="14"/>
      <c r="C43" s="14"/>
      <c r="D43" s="14"/>
      <c r="E43" s="14"/>
      <c r="F43" s="9"/>
    </row>
    <row r="44" spans="1:6">
      <c r="A44" s="12" t="s">
        <v>114</v>
      </c>
      <c r="B44" s="14"/>
      <c r="C44" s="14"/>
      <c r="D44" s="14"/>
      <c r="E44" s="14"/>
      <c r="F44" s="9"/>
    </row>
    <row r="45" spans="1:6">
      <c r="A45" s="12" t="s">
        <v>116</v>
      </c>
      <c r="B45" s="14"/>
      <c r="C45" s="14"/>
      <c r="D45" s="14"/>
      <c r="E45" s="14"/>
      <c r="F45" s="9"/>
    </row>
    <row r="46" spans="1:6">
      <c r="A46" s="12" t="s">
        <v>119</v>
      </c>
      <c r="B46" s="14"/>
      <c r="C46" s="14"/>
      <c r="D46" s="14"/>
      <c r="E46" s="14"/>
      <c r="F46" s="9"/>
    </row>
    <row r="47" spans="1:6">
      <c r="A47" s="12" t="s">
        <v>316</v>
      </c>
      <c r="B47" s="14"/>
      <c r="C47" s="14"/>
      <c r="D47" s="14"/>
      <c r="E47" s="14"/>
      <c r="F47" s="9"/>
    </row>
    <row r="48" spans="1:6">
      <c r="A48" s="12" t="s">
        <v>123</v>
      </c>
      <c r="B48" s="14"/>
      <c r="C48" s="14"/>
      <c r="D48" s="14"/>
      <c r="E48" s="14"/>
      <c r="F48" s="9"/>
    </row>
    <row r="49" spans="1:5" s="9" customFormat="1">
      <c r="A49" s="12" t="s">
        <v>125</v>
      </c>
      <c r="B49" s="14"/>
      <c r="C49" s="14"/>
      <c r="D49" s="14"/>
      <c r="E49" s="14"/>
    </row>
    <row r="50" spans="1:5" s="9" customFormat="1">
      <c r="A50" s="12" t="s">
        <v>127</v>
      </c>
      <c r="B50" s="14"/>
      <c r="C50" s="14"/>
      <c r="D50" s="14"/>
      <c r="E50" s="14"/>
    </row>
    <row r="51" spans="1:5" s="9" customFormat="1">
      <c r="A51" s="12" t="s">
        <v>317</v>
      </c>
      <c r="B51" s="14"/>
      <c r="C51" s="14"/>
      <c r="D51" s="14"/>
      <c r="E51" s="14"/>
    </row>
    <row r="52" spans="1:5" s="9" customFormat="1">
      <c r="A52" s="12" t="s">
        <v>318</v>
      </c>
      <c r="B52" s="14"/>
      <c r="C52" s="14"/>
      <c r="D52" s="14"/>
      <c r="E52" s="14"/>
    </row>
    <row r="53" spans="1:5" s="9" customFormat="1">
      <c r="A53" s="12" t="s">
        <v>130</v>
      </c>
      <c r="B53" s="14"/>
      <c r="C53" s="14"/>
      <c r="D53" s="14"/>
      <c r="E53" s="14"/>
    </row>
    <row r="54" spans="1:5" s="9" customFormat="1">
      <c r="A54" s="12" t="s">
        <v>319</v>
      </c>
      <c r="B54" s="14"/>
      <c r="C54" s="14"/>
      <c r="D54" s="14"/>
      <c r="E54" s="14"/>
    </row>
    <row r="55" spans="1:5" s="9" customFormat="1">
      <c r="A55" s="12" t="s">
        <v>320</v>
      </c>
      <c r="B55" s="14"/>
      <c r="C55" s="14"/>
      <c r="D55" s="14"/>
      <c r="E55" s="14"/>
    </row>
    <row r="56" spans="1:5" s="9" customFormat="1">
      <c r="A56" s="12" t="s">
        <v>157</v>
      </c>
      <c r="B56" s="14"/>
      <c r="C56" s="14"/>
      <c r="D56" s="14"/>
      <c r="E56" s="14"/>
    </row>
    <row r="57" spans="1:5" s="9" customFormat="1">
      <c r="A57" s="12" t="s">
        <v>160</v>
      </c>
      <c r="B57" s="14"/>
      <c r="C57" s="14"/>
      <c r="D57" s="14"/>
      <c r="E57" s="14"/>
    </row>
    <row r="58" spans="1:5" s="9" customFormat="1">
      <c r="A58" s="12" t="s">
        <v>162</v>
      </c>
      <c r="B58" s="14"/>
      <c r="C58" s="14"/>
      <c r="D58" s="14"/>
      <c r="E58" s="14"/>
    </row>
    <row r="59" spans="1:5" s="9" customFormat="1">
      <c r="A59" s="12" t="s">
        <v>164</v>
      </c>
      <c r="B59" s="14"/>
      <c r="C59" s="14"/>
      <c r="D59" s="14"/>
      <c r="E59" s="14"/>
    </row>
    <row r="60" spans="1:5" s="9" customFormat="1">
      <c r="A60" s="12" t="s">
        <v>166</v>
      </c>
      <c r="B60" s="14"/>
      <c r="C60" s="14"/>
      <c r="D60" s="14"/>
      <c r="E60" s="14"/>
    </row>
    <row r="61" spans="1:5" s="9" customFormat="1">
      <c r="A61" s="12" t="s">
        <v>168</v>
      </c>
      <c r="B61" s="14"/>
      <c r="C61" s="14"/>
      <c r="D61" s="14"/>
      <c r="E61" s="14"/>
    </row>
    <row r="62" spans="1:5" s="9" customFormat="1">
      <c r="A62" s="12" t="s">
        <v>171</v>
      </c>
      <c r="B62" s="14"/>
      <c r="C62" s="14"/>
      <c r="D62" s="14"/>
      <c r="E62" s="14"/>
    </row>
    <row r="63" spans="1:5" s="9" customFormat="1">
      <c r="A63" s="12" t="s">
        <v>174</v>
      </c>
      <c r="B63" s="14"/>
      <c r="C63" s="14"/>
      <c r="D63" s="14"/>
      <c r="E63" s="14"/>
    </row>
    <row r="64" spans="1:5" s="9" customFormat="1">
      <c r="A64" s="12" t="s">
        <v>178</v>
      </c>
      <c r="B64" s="14"/>
      <c r="C64" s="14"/>
      <c r="D64" s="14"/>
      <c r="E64" s="14"/>
    </row>
    <row r="65" spans="1:5" s="9" customFormat="1">
      <c r="A65" s="12" t="s">
        <v>321</v>
      </c>
      <c r="B65" s="14"/>
      <c r="C65" s="14"/>
      <c r="D65" s="14"/>
      <c r="E65" s="14"/>
    </row>
    <row r="66" spans="1:5" s="9" customFormat="1">
      <c r="A66" s="12" t="s">
        <v>311</v>
      </c>
      <c r="B66" s="14"/>
      <c r="C66" s="14"/>
      <c r="D66" s="14"/>
      <c r="E66" s="14"/>
    </row>
    <row r="67" spans="1:5" s="9" customFormat="1"/>
    <row r="68" spans="1:5" s="9" customFormat="1"/>
    <row r="69" spans="1:5" s="9" customFormat="1"/>
    <row r="70" spans="1:5" s="9" customFormat="1"/>
    <row r="71" spans="1:5" s="9" customFormat="1"/>
    <row r="72" spans="1:5" s="9" customFormat="1"/>
    <row r="73" spans="1:5" s="9" customFormat="1"/>
    <row r="74" spans="1:5" s="9" customFormat="1"/>
    <row r="75" spans="1:5" s="9" customFormat="1"/>
    <row r="76" spans="1:5" s="9" customFormat="1"/>
    <row r="77" spans="1:5" s="9" customFormat="1"/>
    <row r="78" spans="1:5" s="9" customFormat="1"/>
    <row r="79" spans="1:5" s="9" customFormat="1"/>
    <row r="80" spans="1:5" s="9" customFormat="1"/>
    <row r="81" s="9" customFormat="1"/>
    <row r="82" s="9" customFormat="1"/>
    <row r="83" s="9" customFormat="1"/>
    <row r="84" s="9" customFormat="1"/>
    <row r="85" s="9" customFormat="1"/>
    <row r="86" s="9" customFormat="1"/>
    <row r="87" s="9" customFormat="1"/>
    <row r="88" s="9" customFormat="1"/>
    <row r="89" s="9" customFormat="1"/>
  </sheetData>
  <pageMargins left="0.7" right="0.7" top="0.75" bottom="0.75" header="0.3" footer="0.3"/>
  <pageSetup scale="80"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80"/>
  <sheetViews>
    <sheetView topLeftCell="A67" zoomScale="73" workbookViewId="0">
      <selection activeCell="C75" sqref="C75"/>
    </sheetView>
  </sheetViews>
  <sheetFormatPr defaultColWidth="8.7109375" defaultRowHeight="15"/>
  <cols>
    <col min="1" max="1" width="26.42578125" customWidth="1"/>
    <col min="2" max="2" width="48.7109375" customWidth="1"/>
  </cols>
  <sheetData>
    <row r="1" spans="1:2">
      <c r="A1" s="2" t="s">
        <v>322</v>
      </c>
      <c r="B1" s="1" t="s">
        <v>323</v>
      </c>
    </row>
    <row r="2" spans="1:2">
      <c r="A2" s="3" t="e">
        <v>#VALUE!</v>
      </c>
      <c r="B2" s="1" t="s">
        <v>324</v>
      </c>
    </row>
    <row r="3" spans="1:2">
      <c r="A3" s="3" t="e">
        <v>#VALUE!</v>
      </c>
      <c r="B3" s="1" t="s">
        <v>325</v>
      </c>
    </row>
    <row r="4" spans="1:2">
      <c r="A4" s="3" t="e">
        <v>#VALUE!</v>
      </c>
      <c r="B4" s="1" t="s">
        <v>326</v>
      </c>
    </row>
    <row r="5" spans="1:2">
      <c r="A5" s="3" t="e">
        <v>#VALUE!</v>
      </c>
      <c r="B5" s="1" t="s">
        <v>327</v>
      </c>
    </row>
    <row r="6" spans="1:2">
      <c r="A6" s="3" t="s">
        <v>328</v>
      </c>
      <c r="B6" s="1" t="s">
        <v>329</v>
      </c>
    </row>
    <row r="7" spans="1:2">
      <c r="A7" s="3" t="s">
        <v>330</v>
      </c>
      <c r="B7" s="4" t="s">
        <v>331</v>
      </c>
    </row>
    <row r="8" spans="1:2">
      <c r="A8" s="2" t="e">
        <v>#VALUE!</v>
      </c>
      <c r="B8" s="4" t="s">
        <v>332</v>
      </c>
    </row>
    <row r="9" spans="1:2">
      <c r="A9" s="6" t="e">
        <v>#VALUE!</v>
      </c>
      <c r="B9" s="4" t="s">
        <v>333</v>
      </c>
    </row>
    <row r="10" spans="1:2">
      <c r="A10" s="3" t="s">
        <v>334</v>
      </c>
      <c r="B10" s="4" t="s">
        <v>335</v>
      </c>
    </row>
    <row r="11" spans="1:2">
      <c r="A11" s="3" t="e">
        <v>#VALUE!</v>
      </c>
      <c r="B11" s="1" t="s">
        <v>335</v>
      </c>
    </row>
    <row r="12" spans="1:2">
      <c r="A12" s="3" t="e">
        <v>#VALUE!</v>
      </c>
      <c r="B12" s="1" t="s">
        <v>336</v>
      </c>
    </row>
    <row r="13" spans="1:2">
      <c r="A13" s="3" t="e">
        <v>#VALUE!</v>
      </c>
      <c r="B13" s="1" t="s">
        <v>335</v>
      </c>
    </row>
    <row r="14" spans="1:2">
      <c r="A14" s="3" t="e">
        <v>#VALUE!</v>
      </c>
      <c r="B14" s="1" t="s">
        <v>327</v>
      </c>
    </row>
    <row r="15" spans="1:2">
      <c r="A15" s="6" t="e">
        <v>#VALUE!</v>
      </c>
      <c r="B15" s="4" t="s">
        <v>337</v>
      </c>
    </row>
    <row r="16" spans="1:2">
      <c r="A16" s="3" t="s">
        <v>338</v>
      </c>
      <c r="B16" s="1" t="s">
        <v>339</v>
      </c>
    </row>
    <row r="17" spans="1:2">
      <c r="A17" s="3" t="s">
        <v>340</v>
      </c>
      <c r="B17" s="4" t="s">
        <v>341</v>
      </c>
    </row>
    <row r="18" spans="1:2">
      <c r="A18" s="3" t="e">
        <v>#VALUE!</v>
      </c>
      <c r="B18" s="4" t="s">
        <v>342</v>
      </c>
    </row>
    <row r="19" spans="1:2">
      <c r="A19" s="3" t="s">
        <v>343</v>
      </c>
      <c r="B19" s="1" t="s">
        <v>344</v>
      </c>
    </row>
    <row r="20" spans="1:2">
      <c r="A20" s="3" t="e">
        <v>#VALUE!</v>
      </c>
      <c r="B20" s="1" t="s">
        <v>339</v>
      </c>
    </row>
    <row r="21" spans="1:2">
      <c r="A21" s="3" t="e">
        <v>#VALUE!</v>
      </c>
      <c r="B21" s="4" t="s">
        <v>345</v>
      </c>
    </row>
    <row r="22" spans="1:2">
      <c r="A22" s="3" t="s">
        <v>346</v>
      </c>
      <c r="B22" s="4" t="s">
        <v>341</v>
      </c>
    </row>
    <row r="23" spans="1:2">
      <c r="A23" s="3" t="e">
        <v>#VALUE!</v>
      </c>
      <c r="B23" s="4" t="s">
        <v>347</v>
      </c>
    </row>
    <row r="24" spans="1:2">
      <c r="A24" s="3" t="s">
        <v>348</v>
      </c>
      <c r="B24" s="4" t="s">
        <v>345</v>
      </c>
    </row>
    <row r="25" spans="1:2">
      <c r="A25" s="3" t="e">
        <v>#VALUE!</v>
      </c>
      <c r="B25" s="4" t="s">
        <v>333</v>
      </c>
    </row>
    <row r="26" spans="1:2">
      <c r="A26" s="7" t="e">
        <v>#VALUE!</v>
      </c>
      <c r="B26" s="1" t="s">
        <v>326</v>
      </c>
    </row>
    <row r="27" spans="1:2">
      <c r="A27" s="3" t="e">
        <v>#VALUE!</v>
      </c>
      <c r="B27" s="4" t="s">
        <v>333</v>
      </c>
    </row>
    <row r="28" spans="1:2">
      <c r="A28" s="2" t="e">
        <v>#VALUE!</v>
      </c>
      <c r="B28" s="1" t="s">
        <v>336</v>
      </c>
    </row>
    <row r="29" spans="1:2">
      <c r="A29" s="3" t="e">
        <v>#VALUE!</v>
      </c>
      <c r="B29" s="4" t="s">
        <v>341</v>
      </c>
    </row>
    <row r="30" spans="1:2">
      <c r="A30" s="3" t="e">
        <v>#VALUE!</v>
      </c>
      <c r="B30" s="4" t="s">
        <v>347</v>
      </c>
    </row>
    <row r="31" spans="1:2">
      <c r="A31" s="3" t="e">
        <v>#VALUE!</v>
      </c>
      <c r="B31" s="1" t="s">
        <v>327</v>
      </c>
    </row>
    <row r="32" spans="1:2">
      <c r="A32" s="3" t="e">
        <v>#VALUE!</v>
      </c>
      <c r="B32" s="4" t="s">
        <v>349</v>
      </c>
    </row>
    <row r="33" spans="1:2">
      <c r="A33" s="3" t="e">
        <v>#VALUE!</v>
      </c>
      <c r="B33" s="1" t="s">
        <v>324</v>
      </c>
    </row>
    <row r="34" spans="1:2">
      <c r="A34" s="3" t="e">
        <v>#VALUE!</v>
      </c>
      <c r="B34" s="1" t="s">
        <v>350</v>
      </c>
    </row>
    <row r="35" spans="1:2">
      <c r="A35" s="3" t="s">
        <v>351</v>
      </c>
      <c r="B35" s="4" t="s">
        <v>333</v>
      </c>
    </row>
    <row r="36" spans="1:2">
      <c r="A36" s="3" t="s">
        <v>352</v>
      </c>
      <c r="B36" s="1" t="s">
        <v>339</v>
      </c>
    </row>
    <row r="37" spans="1:2">
      <c r="A37" s="2" t="e">
        <v>#VALUE!</v>
      </c>
      <c r="B37" s="1" t="s">
        <v>324</v>
      </c>
    </row>
    <row r="38" spans="1:2">
      <c r="A38" s="3" t="e">
        <v>#VALUE!</v>
      </c>
      <c r="B38" s="1" t="s">
        <v>353</v>
      </c>
    </row>
    <row r="39" spans="1:2">
      <c r="A39" s="3" t="e">
        <v>#VALUE!</v>
      </c>
      <c r="B39" s="1" t="s">
        <v>339</v>
      </c>
    </row>
    <row r="40" spans="1:2">
      <c r="A40" s="3" t="e">
        <v>#VALUE!</v>
      </c>
      <c r="B40" s="1" t="s">
        <v>354</v>
      </c>
    </row>
    <row r="41" spans="1:2">
      <c r="A41" s="3" t="s">
        <v>355</v>
      </c>
      <c r="B41" s="1" t="s">
        <v>356</v>
      </c>
    </row>
    <row r="42" spans="1:2">
      <c r="A42" s="3" t="e">
        <v>#VALUE!</v>
      </c>
      <c r="B42" s="1" t="s">
        <v>353</v>
      </c>
    </row>
    <row r="43" spans="1:2">
      <c r="A43" s="3" t="s">
        <v>357</v>
      </c>
      <c r="B43" s="4" t="s">
        <v>345</v>
      </c>
    </row>
    <row r="44" spans="1:2">
      <c r="A44" s="3" t="s">
        <v>358</v>
      </c>
      <c r="B44" s="1" t="s">
        <v>344</v>
      </c>
    </row>
    <row r="45" spans="1:2">
      <c r="A45" s="3" t="s">
        <v>359</v>
      </c>
      <c r="B45" s="4" t="s">
        <v>345</v>
      </c>
    </row>
    <row r="46" spans="1:2">
      <c r="A46" s="3" t="e">
        <v>#VALUE!</v>
      </c>
      <c r="B46" s="1" t="s">
        <v>353</v>
      </c>
    </row>
    <row r="47" spans="1:2">
      <c r="A47" s="8" t="e">
        <v>#VALUE!</v>
      </c>
      <c r="B47" s="1" t="s">
        <v>339</v>
      </c>
    </row>
    <row r="48" spans="1:2">
      <c r="A48" s="3" t="e">
        <v>#VALUE!</v>
      </c>
      <c r="B48" s="1" t="s">
        <v>335</v>
      </c>
    </row>
    <row r="49" spans="1:2">
      <c r="A49" s="2" t="e">
        <v>#VALUE!</v>
      </c>
      <c r="B49" s="4" t="s">
        <v>360</v>
      </c>
    </row>
    <row r="50" spans="1:2">
      <c r="A50" s="3" t="e">
        <v>#VALUE!</v>
      </c>
      <c r="B50" s="4" t="s">
        <v>361</v>
      </c>
    </row>
    <row r="51" spans="1:2">
      <c r="A51" s="3" t="e">
        <v>#VALUE!</v>
      </c>
      <c r="B51" s="4" t="s">
        <v>362</v>
      </c>
    </row>
    <row r="52" spans="1:2">
      <c r="A52" s="3" t="s">
        <v>363</v>
      </c>
      <c r="B52" s="4" t="s">
        <v>345</v>
      </c>
    </row>
    <row r="53" spans="1:2">
      <c r="A53" s="3" t="e">
        <v>#VALUE!</v>
      </c>
      <c r="B53" s="1" t="s">
        <v>326</v>
      </c>
    </row>
    <row r="54" spans="1:2">
      <c r="A54" s="3" t="e">
        <v>#VALUE!</v>
      </c>
      <c r="B54" s="1" t="s">
        <v>350</v>
      </c>
    </row>
    <row r="55" spans="1:2">
      <c r="A55" s="3" t="e">
        <v>#VALUE!</v>
      </c>
      <c r="B55" s="4" t="s">
        <v>364</v>
      </c>
    </row>
    <row r="56" spans="1:2">
      <c r="A56" s="3" t="e">
        <v>#VALUE!</v>
      </c>
      <c r="B56" s="1" t="s">
        <v>353</v>
      </c>
    </row>
    <row r="57" spans="1:2">
      <c r="A57" s="3" t="s">
        <v>365</v>
      </c>
      <c r="B57" s="1" t="s">
        <v>353</v>
      </c>
    </row>
    <row r="58" spans="1:2">
      <c r="A58" s="5" t="s">
        <v>366</v>
      </c>
      <c r="B58" s="4" t="s">
        <v>345</v>
      </c>
    </row>
    <row r="59" spans="1:2">
      <c r="A59" s="3" t="e">
        <v>#VALUE!</v>
      </c>
      <c r="B59" s="1" t="s">
        <v>339</v>
      </c>
    </row>
    <row r="60" spans="1:2">
      <c r="A60" s="7" t="e">
        <v>#VALUE!</v>
      </c>
      <c r="B60" s="1" t="s">
        <v>339</v>
      </c>
    </row>
    <row r="61" spans="1:2">
      <c r="A61" s="3" t="e">
        <v>#VALUE!</v>
      </c>
      <c r="B61" s="1" t="s">
        <v>329</v>
      </c>
    </row>
    <row r="62" spans="1:2">
      <c r="A62" s="3" t="e">
        <v>#VALUE!</v>
      </c>
      <c r="B62" s="4" t="s">
        <v>367</v>
      </c>
    </row>
    <row r="63" spans="1:2">
      <c r="A63" s="3" t="e">
        <v>#VALUE!</v>
      </c>
      <c r="B63" s="1" t="s">
        <v>353</v>
      </c>
    </row>
    <row r="64" spans="1:2">
      <c r="A64" s="3" t="e">
        <v>#VALUE!</v>
      </c>
      <c r="B64" s="4" t="s">
        <v>368</v>
      </c>
    </row>
    <row r="65" spans="1:3">
      <c r="A65" s="3" t="e">
        <v>#VALUE!</v>
      </c>
      <c r="B65" s="1" t="s">
        <v>336</v>
      </c>
    </row>
    <row r="66" spans="1:3">
      <c r="A66" s="3" t="e">
        <v>#VALUE!</v>
      </c>
      <c r="B66" s="1" t="s">
        <v>327</v>
      </c>
    </row>
    <row r="67" spans="1:3">
      <c r="A67" s="5" t="e">
        <v>#VALUE!</v>
      </c>
      <c r="B67" s="4" t="s">
        <v>369</v>
      </c>
    </row>
    <row r="68" spans="1:3">
      <c r="A68" s="3" t="e">
        <v>#VALUE!</v>
      </c>
      <c r="B68" s="4" t="s">
        <v>370</v>
      </c>
    </row>
    <row r="72" spans="1:3">
      <c r="C72" t="s">
        <v>51</v>
      </c>
    </row>
    <row r="73" spans="1:3">
      <c r="C73" t="s">
        <v>48</v>
      </c>
    </row>
    <row r="74" spans="1:3">
      <c r="C74" t="s">
        <v>53</v>
      </c>
    </row>
    <row r="76" spans="1:3">
      <c r="C76" t="s">
        <v>371</v>
      </c>
    </row>
    <row r="77" spans="1:3">
      <c r="C77" t="s">
        <v>372</v>
      </c>
    </row>
    <row r="79" spans="1:3">
      <c r="C79" t="s">
        <v>373</v>
      </c>
    </row>
    <row r="80" spans="1:3">
      <c r="C80" t="s">
        <v>374</v>
      </c>
    </row>
  </sheetData>
  <autoFilter ref="A1:C1" xr:uid="{00000000-0001-0000-0600-000000000000}"/>
  <sortState xmlns:xlrd2="http://schemas.microsoft.com/office/spreadsheetml/2017/richdata2" ref="A3:B65">
    <sortCondition ref="A6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0A93-2BBD-406B-8D41-2AC3D63DB65C}">
  <dimension ref="A1:B68"/>
  <sheetViews>
    <sheetView workbookViewId="0">
      <selection activeCell="I54" sqref="I54"/>
    </sheetView>
  </sheetViews>
  <sheetFormatPr defaultColWidth="8.7109375" defaultRowHeight="15"/>
  <cols>
    <col min="1" max="1" width="26.42578125" customWidth="1"/>
    <col min="2" max="2" width="48.7109375" customWidth="1"/>
  </cols>
  <sheetData>
    <row r="1" spans="1:2">
      <c r="A1" s="2" t="s">
        <v>322</v>
      </c>
      <c r="B1" s="1" t="s">
        <v>323</v>
      </c>
    </row>
    <row r="2" spans="1:2">
      <c r="A2" s="3" t="e">
        <v>#VALUE!</v>
      </c>
      <c r="B2" s="1" t="s">
        <v>324</v>
      </c>
    </row>
    <row r="3" spans="1:2">
      <c r="A3" s="3" t="e">
        <v>#VALUE!</v>
      </c>
      <c r="B3" s="1" t="s">
        <v>325</v>
      </c>
    </row>
    <row r="4" spans="1:2">
      <c r="A4" s="3" t="e">
        <v>#VALUE!</v>
      </c>
      <c r="B4" s="1" t="s">
        <v>326</v>
      </c>
    </row>
    <row r="5" spans="1:2">
      <c r="A5" s="3" t="e">
        <v>#VALUE!</v>
      </c>
      <c r="B5" s="1" t="s">
        <v>327</v>
      </c>
    </row>
    <row r="6" spans="1:2">
      <c r="A6" s="3" t="s">
        <v>328</v>
      </c>
      <c r="B6" s="1" t="s">
        <v>329</v>
      </c>
    </row>
    <row r="7" spans="1:2">
      <c r="A7" s="3" t="s">
        <v>330</v>
      </c>
      <c r="B7" s="4" t="s">
        <v>331</v>
      </c>
    </row>
    <row r="8" spans="1:2">
      <c r="A8" s="2" t="e">
        <v>#VALUE!</v>
      </c>
      <c r="B8" s="4" t="s">
        <v>332</v>
      </c>
    </row>
    <row r="9" spans="1:2">
      <c r="A9" s="6" t="e">
        <v>#VALUE!</v>
      </c>
      <c r="B9" s="4" t="s">
        <v>333</v>
      </c>
    </row>
    <row r="10" spans="1:2">
      <c r="A10" s="3" t="s">
        <v>334</v>
      </c>
      <c r="B10" s="4" t="s">
        <v>335</v>
      </c>
    </row>
    <row r="11" spans="1:2">
      <c r="A11" s="3" t="e">
        <v>#VALUE!</v>
      </c>
      <c r="B11" s="1" t="s">
        <v>335</v>
      </c>
    </row>
    <row r="12" spans="1:2">
      <c r="A12" s="3" t="e">
        <v>#VALUE!</v>
      </c>
      <c r="B12" s="1" t="s">
        <v>336</v>
      </c>
    </row>
    <row r="13" spans="1:2">
      <c r="A13" s="3" t="e">
        <v>#VALUE!</v>
      </c>
      <c r="B13" s="1" t="s">
        <v>335</v>
      </c>
    </row>
    <row r="14" spans="1:2">
      <c r="A14" s="3" t="e">
        <v>#VALUE!</v>
      </c>
      <c r="B14" s="1" t="s">
        <v>327</v>
      </c>
    </row>
    <row r="15" spans="1:2">
      <c r="A15" s="6" t="e">
        <v>#VALUE!</v>
      </c>
      <c r="B15" s="4" t="s">
        <v>337</v>
      </c>
    </row>
    <row r="16" spans="1:2">
      <c r="A16" s="3" t="s">
        <v>338</v>
      </c>
      <c r="B16" s="1" t="s">
        <v>339</v>
      </c>
    </row>
    <row r="17" spans="1:2">
      <c r="A17" s="3" t="s">
        <v>340</v>
      </c>
      <c r="B17" s="4" t="s">
        <v>341</v>
      </c>
    </row>
    <row r="18" spans="1:2">
      <c r="A18" s="3" t="e">
        <v>#VALUE!</v>
      </c>
      <c r="B18" s="4" t="s">
        <v>342</v>
      </c>
    </row>
    <row r="19" spans="1:2">
      <c r="A19" s="3" t="s">
        <v>343</v>
      </c>
      <c r="B19" s="1" t="s">
        <v>344</v>
      </c>
    </row>
    <row r="20" spans="1:2">
      <c r="A20" s="3" t="e">
        <v>#VALUE!</v>
      </c>
      <c r="B20" s="1" t="s">
        <v>339</v>
      </c>
    </row>
    <row r="21" spans="1:2">
      <c r="A21" s="3" t="e">
        <v>#VALUE!</v>
      </c>
      <c r="B21" s="4" t="s">
        <v>345</v>
      </c>
    </row>
    <row r="22" spans="1:2">
      <c r="A22" s="3" t="s">
        <v>346</v>
      </c>
      <c r="B22" s="4" t="s">
        <v>341</v>
      </c>
    </row>
    <row r="23" spans="1:2">
      <c r="A23" s="3" t="e">
        <v>#VALUE!</v>
      </c>
      <c r="B23" s="4" t="s">
        <v>347</v>
      </c>
    </row>
    <row r="24" spans="1:2">
      <c r="A24" s="3" t="s">
        <v>348</v>
      </c>
      <c r="B24" s="4" t="s">
        <v>345</v>
      </c>
    </row>
    <row r="25" spans="1:2">
      <c r="A25" s="3" t="e">
        <v>#VALUE!</v>
      </c>
      <c r="B25" s="4" t="s">
        <v>333</v>
      </c>
    </row>
    <row r="26" spans="1:2">
      <c r="A26" s="7" t="e">
        <v>#VALUE!</v>
      </c>
      <c r="B26" s="1" t="s">
        <v>326</v>
      </c>
    </row>
    <row r="27" spans="1:2">
      <c r="A27" s="3" t="e">
        <v>#VALUE!</v>
      </c>
      <c r="B27" s="4" t="s">
        <v>333</v>
      </c>
    </row>
    <row r="28" spans="1:2">
      <c r="A28" s="2" t="e">
        <v>#VALUE!</v>
      </c>
      <c r="B28" s="1" t="s">
        <v>336</v>
      </c>
    </row>
    <row r="29" spans="1:2">
      <c r="A29" s="3" t="e">
        <v>#VALUE!</v>
      </c>
      <c r="B29" s="4" t="s">
        <v>341</v>
      </c>
    </row>
    <row r="30" spans="1:2">
      <c r="A30" s="3" t="e">
        <v>#VALUE!</v>
      </c>
      <c r="B30" s="4" t="s">
        <v>347</v>
      </c>
    </row>
    <row r="31" spans="1:2">
      <c r="A31" s="3" t="e">
        <v>#VALUE!</v>
      </c>
      <c r="B31" s="1" t="s">
        <v>327</v>
      </c>
    </row>
    <row r="32" spans="1:2">
      <c r="A32" s="3" t="e">
        <v>#VALUE!</v>
      </c>
      <c r="B32" s="4" t="s">
        <v>349</v>
      </c>
    </row>
    <row r="33" spans="1:2">
      <c r="A33" s="3" t="e">
        <v>#VALUE!</v>
      </c>
      <c r="B33" s="1" t="s">
        <v>324</v>
      </c>
    </row>
    <row r="34" spans="1:2">
      <c r="A34" s="3" t="e">
        <v>#VALUE!</v>
      </c>
      <c r="B34" s="1" t="s">
        <v>350</v>
      </c>
    </row>
    <row r="35" spans="1:2">
      <c r="A35" s="3" t="s">
        <v>351</v>
      </c>
      <c r="B35" s="4" t="s">
        <v>333</v>
      </c>
    </row>
    <row r="36" spans="1:2">
      <c r="A36" s="3" t="s">
        <v>352</v>
      </c>
      <c r="B36" s="1" t="s">
        <v>339</v>
      </c>
    </row>
    <row r="37" spans="1:2">
      <c r="A37" s="2" t="e">
        <v>#VALUE!</v>
      </c>
      <c r="B37" s="1" t="s">
        <v>324</v>
      </c>
    </row>
    <row r="38" spans="1:2">
      <c r="A38" s="3" t="e">
        <v>#VALUE!</v>
      </c>
      <c r="B38" s="1" t="s">
        <v>353</v>
      </c>
    </row>
    <row r="39" spans="1:2">
      <c r="A39" s="3" t="e">
        <v>#VALUE!</v>
      </c>
      <c r="B39" s="1" t="s">
        <v>339</v>
      </c>
    </row>
    <row r="40" spans="1:2">
      <c r="A40" s="3" t="e">
        <v>#VALUE!</v>
      </c>
      <c r="B40" s="1" t="s">
        <v>354</v>
      </c>
    </row>
    <row r="41" spans="1:2">
      <c r="A41" s="3" t="s">
        <v>355</v>
      </c>
      <c r="B41" s="1" t="s">
        <v>356</v>
      </c>
    </row>
    <row r="42" spans="1:2">
      <c r="A42" s="3" t="e">
        <v>#VALUE!</v>
      </c>
      <c r="B42" s="1" t="s">
        <v>353</v>
      </c>
    </row>
    <row r="43" spans="1:2">
      <c r="A43" s="3" t="s">
        <v>357</v>
      </c>
      <c r="B43" s="4" t="s">
        <v>345</v>
      </c>
    </row>
    <row r="44" spans="1:2">
      <c r="A44" s="3" t="s">
        <v>358</v>
      </c>
      <c r="B44" s="1" t="s">
        <v>344</v>
      </c>
    </row>
    <row r="45" spans="1:2">
      <c r="A45" s="3" t="s">
        <v>359</v>
      </c>
      <c r="B45" s="4" t="s">
        <v>345</v>
      </c>
    </row>
    <row r="46" spans="1:2">
      <c r="A46" s="3" t="e">
        <v>#VALUE!</v>
      </c>
      <c r="B46" s="1" t="s">
        <v>353</v>
      </c>
    </row>
    <row r="47" spans="1:2">
      <c r="A47" s="8" t="e">
        <v>#VALUE!</v>
      </c>
      <c r="B47" s="1" t="s">
        <v>339</v>
      </c>
    </row>
    <row r="48" spans="1:2">
      <c r="A48" s="3" t="e">
        <v>#VALUE!</v>
      </c>
      <c r="B48" s="1" t="s">
        <v>335</v>
      </c>
    </row>
    <row r="49" spans="1:2">
      <c r="A49" s="2" t="e">
        <v>#VALUE!</v>
      </c>
      <c r="B49" s="4" t="s">
        <v>360</v>
      </c>
    </row>
    <row r="50" spans="1:2">
      <c r="A50" s="3" t="e">
        <v>#VALUE!</v>
      </c>
      <c r="B50" s="4" t="s">
        <v>361</v>
      </c>
    </row>
    <row r="51" spans="1:2">
      <c r="A51" s="3" t="e">
        <v>#VALUE!</v>
      </c>
      <c r="B51" s="4" t="s">
        <v>362</v>
      </c>
    </row>
    <row r="52" spans="1:2">
      <c r="A52" s="3" t="s">
        <v>363</v>
      </c>
      <c r="B52" s="4" t="s">
        <v>345</v>
      </c>
    </row>
    <row r="53" spans="1:2">
      <c r="A53" s="3" t="e">
        <v>#VALUE!</v>
      </c>
      <c r="B53" s="1" t="s">
        <v>326</v>
      </c>
    </row>
    <row r="54" spans="1:2">
      <c r="A54" s="3" t="e">
        <v>#VALUE!</v>
      </c>
      <c r="B54" s="1" t="s">
        <v>350</v>
      </c>
    </row>
    <row r="55" spans="1:2">
      <c r="A55" s="3" t="e">
        <v>#VALUE!</v>
      </c>
      <c r="B55" s="4" t="s">
        <v>364</v>
      </c>
    </row>
    <row r="56" spans="1:2">
      <c r="A56" s="3" t="e">
        <v>#VALUE!</v>
      </c>
      <c r="B56" s="1" t="s">
        <v>353</v>
      </c>
    </row>
    <row r="57" spans="1:2">
      <c r="A57" s="3" t="s">
        <v>365</v>
      </c>
      <c r="B57" s="1" t="s">
        <v>353</v>
      </c>
    </row>
    <row r="58" spans="1:2">
      <c r="A58" s="5" t="s">
        <v>366</v>
      </c>
      <c r="B58" s="4" t="s">
        <v>345</v>
      </c>
    </row>
    <row r="59" spans="1:2">
      <c r="A59" s="3" t="e">
        <v>#VALUE!</v>
      </c>
      <c r="B59" s="1" t="s">
        <v>339</v>
      </c>
    </row>
    <row r="60" spans="1:2">
      <c r="A60" s="7" t="e">
        <v>#VALUE!</v>
      </c>
      <c r="B60" s="1" t="s">
        <v>339</v>
      </c>
    </row>
    <row r="61" spans="1:2">
      <c r="A61" s="3" t="e">
        <v>#VALUE!</v>
      </c>
      <c r="B61" s="1" t="s">
        <v>329</v>
      </c>
    </row>
    <row r="62" spans="1:2">
      <c r="A62" s="3" t="e">
        <v>#VALUE!</v>
      </c>
      <c r="B62" s="4" t="s">
        <v>367</v>
      </c>
    </row>
    <row r="63" spans="1:2">
      <c r="A63" s="3" t="e">
        <v>#VALUE!</v>
      </c>
      <c r="B63" s="1" t="s">
        <v>353</v>
      </c>
    </row>
    <row r="64" spans="1:2">
      <c r="A64" s="3" t="e">
        <v>#VALUE!</v>
      </c>
      <c r="B64" s="4" t="s">
        <v>368</v>
      </c>
    </row>
    <row r="65" spans="1:2">
      <c r="A65" s="3" t="e">
        <v>#VALUE!</v>
      </c>
      <c r="B65" s="1" t="s">
        <v>336</v>
      </c>
    </row>
    <row r="66" spans="1:2">
      <c r="A66" s="3" t="e">
        <v>#VALUE!</v>
      </c>
      <c r="B66" s="1" t="s">
        <v>327</v>
      </c>
    </row>
    <row r="67" spans="1:2">
      <c r="A67" s="5" t="e">
        <v>#VALUE!</v>
      </c>
      <c r="B67" s="4" t="s">
        <v>369</v>
      </c>
    </row>
    <row r="68" spans="1:2">
      <c r="A68" s="3" t="e">
        <v>#VALUE!</v>
      </c>
      <c r="B68" s="4" t="s">
        <v>370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B818C8B88D3C7419EA55FC143B77920" ma:contentTypeVersion="8" ma:contentTypeDescription="Create a new document." ma:contentTypeScope="" ma:versionID="807e08b4a7b58e515e8b00c773fc77cc">
  <xsd:schema xmlns:xsd="http://www.w3.org/2001/XMLSchema" xmlns:xs="http://www.w3.org/2001/XMLSchema" xmlns:p="http://schemas.microsoft.com/office/2006/metadata/properties" xmlns:ns2="501d4379-b390-4d7b-8374-ec35f2190187" targetNamespace="http://schemas.microsoft.com/office/2006/metadata/properties" ma:root="true" ma:fieldsID="40c534e9b6030a2e2af2d66d04cfdc3c" ns2:_="">
    <xsd:import namespace="501d4379-b390-4d7b-8374-ec35f21901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d4379-b390-4d7b-8374-ec35f21901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6F578D-0329-4BFB-A9D2-45EC2495FDA3}">
  <ds:schemaRefs>
    <ds:schemaRef ds:uri="http://schemas.microsoft.com/sharepoint/v3/contenttype/forms"/>
  </ds:schemaRefs>
</ds:datastoreItem>
</file>

<file path=customXml/itemProps2.xml><?xml version="1.0" encoding="utf-8"?>
<ds:datastoreItem xmlns:ds="http://schemas.openxmlformats.org/officeDocument/2006/customXml" ds:itemID="{64FB6D43-7FFE-483A-B8BB-3E0EA518A7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1d4379-b390-4d7b-8374-ec35f21901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57E595-DAD7-4F77-BAEC-4EABD125863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vt:lpstr>
      <vt:lpstr>Main Form</vt:lpstr>
      <vt:lpstr>Subform</vt:lpstr>
      <vt:lpstr>Documentation</vt:lpstr>
      <vt:lpstr>How To Check</vt:lpstr>
      <vt:lpstr>Pivot</vt:lpstr>
      <vt:lpstr>Data sheet</vt:lpstr>
      <vt:lpstr>Sheet1</vt:lpstr>
      <vt:lpstr>'How To Check'!Print_Area</vt:lpstr>
      <vt:lpstr>'Main Form'!Print_Area</vt:lpstr>
      <vt:lpstr>Subform!Print_Area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Manalo Justine Mary</dc:creator>
  <cp:keywords/>
  <dc:description/>
  <cp:lastModifiedBy>GATEWAY JR</cp:lastModifiedBy>
  <cp:revision/>
  <dcterms:created xsi:type="dcterms:W3CDTF">2022-04-29T04:55:36Z</dcterms:created>
  <dcterms:modified xsi:type="dcterms:W3CDTF">2026-09-11T08:42:02Z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0x010100DB818C8B88D3C7419EA55FC143B77920</vt:lpwstr>
  </property>
</Properties>
</file>